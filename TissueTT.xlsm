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it_S\Documents\"/>
    </mc:Choice>
  </mc:AlternateContent>
  <xr:revisionPtr revIDLastSave="0" documentId="13_ncr:1_{6B543DD3-A351-4C03-AF48-A0F3651752CB}" xr6:coauthVersionLast="45" xr6:coauthVersionMax="45" xr10:uidLastSave="{00000000-0000-0000-0000-000000000000}"/>
  <bookViews>
    <workbookView xWindow="-120" yWindow="-120" windowWidth="20730" windowHeight="11160" tabRatio="950" firstSheet="1" activeTab="10" xr2:uid="{6B25E93A-973C-4EBA-A966-3E63E269BA7D}"/>
  </bookViews>
  <sheets>
    <sheet name="Employee Data" sheetId="1" r:id="rId1"/>
    <sheet name="Department" sheetId="3" r:id="rId2"/>
    <sheet name="Job Titles" sheetId="2" r:id="rId3"/>
    <sheet name="Employee Type" sheetId="4" r:id="rId4"/>
    <sheet name="Contract Type" sheetId="5" r:id="rId5"/>
    <sheet name="Payment Rate" sheetId="6" r:id="rId6"/>
    <sheet name="Vacation Rate" sheetId="7" r:id="rId7"/>
    <sheet name="Leave Type" sheetId="8" r:id="rId8"/>
    <sheet name="Payment Type" sheetId="9" r:id="rId9"/>
    <sheet name="Time Tracking" sheetId="10" r:id="rId10"/>
    <sheet name="Vacation Tracking" sheetId="11" r:id="rId11"/>
  </sheets>
  <functionGroups builtInGroupCount="19"/>
  <definedNames>
    <definedName name="_xlnm._FilterDatabase" localSheetId="0" hidden="1">'Employee Data'!$A$6:$AE$106</definedName>
    <definedName name="_xlnm._FilterDatabase" localSheetId="10" hidden="1">'Vacation Tracking'!$A$6:$H$1006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0" l="1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7" i="10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7" i="1"/>
  <c r="B19" i="11"/>
  <c r="B99" i="11"/>
  <c r="B163" i="11"/>
  <c r="B227" i="11"/>
  <c r="B291" i="11"/>
  <c r="B355" i="11"/>
  <c r="B419" i="11"/>
  <c r="B483" i="11"/>
  <c r="B44" i="11"/>
  <c r="B108" i="11"/>
  <c r="B172" i="11"/>
  <c r="B236" i="11"/>
  <c r="B17" i="11"/>
  <c r="B81" i="11"/>
  <c r="B145" i="11"/>
  <c r="B209" i="11"/>
  <c r="B273" i="11"/>
  <c r="B337" i="11"/>
  <c r="B250" i="11"/>
  <c r="B378" i="11"/>
  <c r="B464" i="11"/>
  <c r="B540" i="11"/>
  <c r="B604" i="11"/>
  <c r="B174" i="11"/>
  <c r="B353" i="11"/>
  <c r="B438" i="11"/>
  <c r="B521" i="11"/>
  <c r="B585" i="11"/>
  <c r="B18" i="11"/>
  <c r="B274" i="11"/>
  <c r="B386" i="11"/>
  <c r="B472" i="11"/>
  <c r="B71" i="11"/>
  <c r="B135" i="11"/>
  <c r="B199" i="11"/>
  <c r="B263" i="11"/>
  <c r="B327" i="11"/>
  <c r="B391" i="11"/>
  <c r="B455" i="11"/>
  <c r="B16" i="11"/>
  <c r="B80" i="11"/>
  <c r="B144" i="11"/>
  <c r="B208" i="11"/>
  <c r="B272" i="11"/>
  <c r="B53" i="11"/>
  <c r="B117" i="11"/>
  <c r="B181" i="11"/>
  <c r="B245" i="11"/>
  <c r="B309" i="11"/>
  <c r="B202" i="11"/>
  <c r="B362" i="11"/>
  <c r="B448" i="11"/>
  <c r="B528" i="11"/>
  <c r="B592" i="11"/>
  <c r="B27" i="11"/>
  <c r="B91" i="11"/>
  <c r="B155" i="11"/>
  <c r="B219" i="11"/>
  <c r="B283" i="11"/>
  <c r="B347" i="11"/>
  <c r="B411" i="11"/>
  <c r="B475" i="11"/>
  <c r="B36" i="11"/>
  <c r="B100" i="11"/>
  <c r="B164" i="11"/>
  <c r="B228" i="11"/>
  <c r="B25" i="11"/>
  <c r="B89" i="11"/>
  <c r="B153" i="11"/>
  <c r="B217" i="11"/>
  <c r="B281" i="11"/>
  <c r="B26" i="11"/>
  <c r="B282" i="11"/>
  <c r="B389" i="11"/>
  <c r="B474" i="11"/>
  <c r="B127" i="11"/>
  <c r="B383" i="11"/>
  <c r="B136" i="11"/>
  <c r="B109" i="11"/>
  <c r="B106" i="11"/>
  <c r="B548" i="11"/>
  <c r="B158" i="11"/>
  <c r="B380" i="11"/>
  <c r="B492" i="11"/>
  <c r="B581" i="11"/>
  <c r="B98" i="11"/>
  <c r="B354" i="11"/>
  <c r="B466" i="11"/>
  <c r="B546" i="11"/>
  <c r="B610" i="11"/>
  <c r="B674" i="11"/>
  <c r="B738" i="11"/>
  <c r="B102" i="11"/>
  <c r="B324" i="11"/>
  <c r="B414" i="11"/>
  <c r="B500" i="11"/>
  <c r="B567" i="11"/>
  <c r="B631" i="11"/>
  <c r="B708" i="11"/>
  <c r="B793" i="11"/>
  <c r="B858" i="11"/>
  <c r="B922" i="11"/>
  <c r="B998" i="11"/>
  <c r="B720" i="11"/>
  <c r="B803" i="11"/>
  <c r="B867" i="11"/>
  <c r="B931" i="11"/>
  <c r="B995" i="11"/>
  <c r="B711" i="11"/>
  <c r="B796" i="11"/>
  <c r="B143" i="11"/>
  <c r="B399" i="11"/>
  <c r="B152" i="11"/>
  <c r="B125" i="11"/>
  <c r="B170" i="11"/>
  <c r="B552" i="11"/>
  <c r="B190" i="11"/>
  <c r="B385" i="11"/>
  <c r="B497" i="11"/>
  <c r="B589" i="11"/>
  <c r="B114" i="11"/>
  <c r="B360" i="11"/>
  <c r="B477" i="11"/>
  <c r="B550" i="11"/>
  <c r="B614" i="11"/>
  <c r="B678" i="11"/>
  <c r="B742" i="11"/>
  <c r="B35" i="11"/>
  <c r="B115" i="11"/>
  <c r="B179" i="11"/>
  <c r="B243" i="11"/>
  <c r="B307" i="11"/>
  <c r="B371" i="11"/>
  <c r="B435" i="11"/>
  <c r="B499" i="11"/>
  <c r="B60" i="11"/>
  <c r="B124" i="11"/>
  <c r="B188" i="11"/>
  <c r="B252" i="11"/>
  <c r="B33" i="11"/>
  <c r="B97" i="11"/>
  <c r="B161" i="11"/>
  <c r="B225" i="11"/>
  <c r="B289" i="11"/>
  <c r="B58" i="11"/>
  <c r="B302" i="11"/>
  <c r="B400" i="11"/>
  <c r="B485" i="11"/>
  <c r="B556" i="11"/>
  <c r="B620" i="11"/>
  <c r="B238" i="11"/>
  <c r="B374" i="11"/>
  <c r="B460" i="11"/>
  <c r="B537" i="11"/>
  <c r="B601" i="11"/>
  <c r="B82" i="11"/>
  <c r="B314" i="11"/>
  <c r="B408" i="11"/>
  <c r="B23" i="11"/>
  <c r="B87" i="11"/>
  <c r="B151" i="11"/>
  <c r="B215" i="11"/>
  <c r="B279" i="11"/>
  <c r="B343" i="11"/>
  <c r="B407" i="11"/>
  <c r="B471" i="11"/>
  <c r="B32" i="11"/>
  <c r="B96" i="11"/>
  <c r="B160" i="11"/>
  <c r="B224" i="11"/>
  <c r="B288" i="11"/>
  <c r="B69" i="11"/>
  <c r="B133" i="11"/>
  <c r="B197" i="11"/>
  <c r="B261" i="11"/>
  <c r="B325" i="11"/>
  <c r="B266" i="11"/>
  <c r="B384" i="11"/>
  <c r="B469" i="11"/>
  <c r="B544" i="11"/>
  <c r="B608" i="11"/>
  <c r="B43" i="11"/>
  <c r="B107" i="11"/>
  <c r="B171" i="11"/>
  <c r="B235" i="11"/>
  <c r="B299" i="11"/>
  <c r="B363" i="11"/>
  <c r="B427" i="11"/>
  <c r="B491" i="11"/>
  <c r="B52" i="11"/>
  <c r="B116" i="11"/>
  <c r="B180" i="11"/>
  <c r="B244" i="11"/>
  <c r="B41" i="11"/>
  <c r="B105" i="11"/>
  <c r="B169" i="11"/>
  <c r="B233" i="11"/>
  <c r="B297" i="11"/>
  <c r="B90" i="11"/>
  <c r="B318" i="11"/>
  <c r="B410" i="11"/>
  <c r="B496" i="11"/>
  <c r="B191" i="11"/>
  <c r="B447" i="11"/>
  <c r="B200" i="11"/>
  <c r="B173" i="11"/>
  <c r="B326" i="11"/>
  <c r="B580" i="11"/>
  <c r="B254" i="11"/>
  <c r="B406" i="11"/>
  <c r="B517" i="11"/>
  <c r="B605" i="11"/>
  <c r="B178" i="11"/>
  <c r="B381" i="11"/>
  <c r="B493" i="11"/>
  <c r="B562" i="11"/>
  <c r="B626" i="11"/>
  <c r="B690" i="11"/>
  <c r="B754" i="11"/>
  <c r="B166" i="11"/>
  <c r="B350" i="11"/>
  <c r="B436" i="11"/>
  <c r="B519" i="11"/>
  <c r="B583" i="11"/>
  <c r="B643" i="11"/>
  <c r="B729" i="11"/>
  <c r="B810" i="11"/>
  <c r="B874" i="11"/>
  <c r="B938" i="11"/>
  <c r="B656" i="11"/>
  <c r="B741" i="11"/>
  <c r="B819" i="11"/>
  <c r="B883" i="11"/>
  <c r="B947" i="11"/>
  <c r="B647" i="11"/>
  <c r="B732" i="11"/>
  <c r="B812" i="11"/>
  <c r="B207" i="11"/>
  <c r="B463" i="11"/>
  <c r="B216" i="11"/>
  <c r="B189" i="11"/>
  <c r="B352" i="11"/>
  <c r="B584" i="11"/>
  <c r="B270" i="11"/>
  <c r="B412" i="11"/>
  <c r="B525" i="11"/>
  <c r="B609" i="11"/>
  <c r="B194" i="11"/>
  <c r="B392" i="11"/>
  <c r="B498" i="11"/>
  <c r="B566" i="11"/>
  <c r="B630" i="11"/>
  <c r="B67" i="11"/>
  <c r="B131" i="11"/>
  <c r="B195" i="11"/>
  <c r="B259" i="11"/>
  <c r="B323" i="11"/>
  <c r="B387" i="11"/>
  <c r="B451" i="11"/>
  <c r="B12" i="11"/>
  <c r="B76" i="11"/>
  <c r="B140" i="11"/>
  <c r="B204" i="11"/>
  <c r="B268" i="11"/>
  <c r="B49" i="11"/>
  <c r="B113" i="11"/>
  <c r="B177" i="11"/>
  <c r="B241" i="11"/>
  <c r="B305" i="11"/>
  <c r="B122" i="11"/>
  <c r="B334" i="11"/>
  <c r="B421" i="11"/>
  <c r="B506" i="11"/>
  <c r="B572" i="11"/>
  <c r="B46" i="11"/>
  <c r="B296" i="11"/>
  <c r="B396" i="11"/>
  <c r="B481" i="11"/>
  <c r="B553" i="11"/>
  <c r="B617" i="11"/>
  <c r="B146" i="11"/>
  <c r="B344" i="11"/>
  <c r="B429" i="11"/>
  <c r="B39" i="11"/>
  <c r="B103" i="11"/>
  <c r="B167" i="11"/>
  <c r="B231" i="11"/>
  <c r="B295" i="11"/>
  <c r="B359" i="11"/>
  <c r="B423" i="11"/>
  <c r="B487" i="11"/>
  <c r="B48" i="11"/>
  <c r="B112" i="11"/>
  <c r="B176" i="11"/>
  <c r="B240" i="11"/>
  <c r="B21" i="11"/>
  <c r="B85" i="11"/>
  <c r="B149" i="11"/>
  <c r="B213" i="11"/>
  <c r="B277" i="11"/>
  <c r="B10" i="11"/>
  <c r="B310" i="11"/>
  <c r="B405" i="11"/>
  <c r="B490" i="11"/>
  <c r="B560" i="11"/>
  <c r="B624" i="11"/>
  <c r="B59" i="11"/>
  <c r="B123" i="11"/>
  <c r="B187" i="11"/>
  <c r="B251" i="11"/>
  <c r="B315" i="11"/>
  <c r="B379" i="11"/>
  <c r="B443" i="11"/>
  <c r="B507" i="11"/>
  <c r="B68" i="11"/>
  <c r="B132" i="11"/>
  <c r="B196" i="11"/>
  <c r="B260" i="11"/>
  <c r="B57" i="11"/>
  <c r="B121" i="11"/>
  <c r="B185" i="11"/>
  <c r="B249" i="11"/>
  <c r="B313" i="11"/>
  <c r="B154" i="11"/>
  <c r="B346" i="11"/>
  <c r="B432" i="11"/>
  <c r="B516" i="11"/>
  <c r="B255" i="11"/>
  <c r="B511" i="11"/>
  <c r="B264" i="11"/>
  <c r="B237" i="11"/>
  <c r="B416" i="11"/>
  <c r="B612" i="11"/>
  <c r="B312" i="11"/>
  <c r="B433" i="11"/>
  <c r="B541" i="11"/>
  <c r="B625" i="11"/>
  <c r="B258" i="11"/>
  <c r="B413" i="11"/>
  <c r="B514" i="11"/>
  <c r="B578" i="11"/>
  <c r="B642" i="11"/>
  <c r="B706" i="11"/>
  <c r="B770" i="11"/>
  <c r="B230" i="11"/>
  <c r="B372" i="11"/>
  <c r="B457" i="11"/>
  <c r="B535" i="11"/>
  <c r="B599" i="11"/>
  <c r="B665" i="11"/>
  <c r="B751" i="11"/>
  <c r="B826" i="11"/>
  <c r="B890" i="11"/>
  <c r="B954" i="11"/>
  <c r="B677" i="11"/>
  <c r="B763" i="11"/>
  <c r="B835" i="11"/>
  <c r="B899" i="11"/>
  <c r="B963" i="11"/>
  <c r="B668" i="11"/>
  <c r="B753" i="11"/>
  <c r="B15" i="11"/>
  <c r="B271" i="11"/>
  <c r="B24" i="11"/>
  <c r="B280" i="11"/>
  <c r="B275" i="11"/>
  <c r="B28" i="11"/>
  <c r="B284" i="11"/>
  <c r="B257" i="11"/>
  <c r="B442" i="11"/>
  <c r="B328" i="11"/>
  <c r="B633" i="11"/>
  <c r="B55" i="11"/>
  <c r="B311" i="11"/>
  <c r="B64" i="11"/>
  <c r="B37" i="11"/>
  <c r="B293" i="11"/>
  <c r="B512" i="11"/>
  <c r="B139" i="11"/>
  <c r="B395" i="11"/>
  <c r="B148" i="11"/>
  <c r="B137" i="11"/>
  <c r="B218" i="11"/>
  <c r="B319" i="11"/>
  <c r="B501" i="11"/>
  <c r="B561" i="11"/>
  <c r="B530" i="11"/>
  <c r="B786" i="11"/>
  <c r="B551" i="11"/>
  <c r="B842" i="11"/>
  <c r="B784" i="11"/>
  <c r="B689" i="11"/>
  <c r="B88" i="11"/>
  <c r="B437" i="11"/>
  <c r="B320" i="11"/>
  <c r="B545" i="11"/>
  <c r="B290" i="11"/>
  <c r="B518" i="11"/>
  <c r="B646" i="11"/>
  <c r="B726" i="11"/>
  <c r="B54" i="11"/>
  <c r="B300" i="11"/>
  <c r="B398" i="11"/>
  <c r="B484" i="11"/>
  <c r="B555" i="11"/>
  <c r="B619" i="11"/>
  <c r="B692" i="11"/>
  <c r="B777" i="11"/>
  <c r="B846" i="11"/>
  <c r="B910" i="11"/>
  <c r="B974" i="11"/>
  <c r="B704" i="11"/>
  <c r="B789" i="11"/>
  <c r="B855" i="11"/>
  <c r="B919" i="11"/>
  <c r="B983" i="11"/>
  <c r="B695" i="11"/>
  <c r="B780" i="11"/>
  <c r="B848" i="11"/>
  <c r="B912" i="11"/>
  <c r="B976" i="11"/>
  <c r="B993" i="11"/>
  <c r="B696" i="11"/>
  <c r="B781" i="11"/>
  <c r="B849" i="11"/>
  <c r="B913" i="11"/>
  <c r="B752" i="11"/>
  <c r="B875" i="11"/>
  <c r="B987" i="11"/>
  <c r="B764" i="11"/>
  <c r="B868" i="11"/>
  <c r="B159" i="11"/>
  <c r="B415" i="11"/>
  <c r="B168" i="11"/>
  <c r="B141" i="11"/>
  <c r="B234" i="11"/>
  <c r="B564" i="11"/>
  <c r="B206" i="11"/>
  <c r="B390" i="11"/>
  <c r="B508" i="11"/>
  <c r="B593" i="11"/>
  <c r="B130" i="11"/>
  <c r="B370" i="11"/>
  <c r="B482" i="11"/>
  <c r="B554" i="11"/>
  <c r="B618" i="11"/>
  <c r="B682" i="11"/>
  <c r="B746" i="11"/>
  <c r="B70" i="11"/>
  <c r="B308" i="11"/>
  <c r="B404" i="11"/>
  <c r="B489" i="11"/>
  <c r="B559" i="11"/>
  <c r="B623" i="11"/>
  <c r="B697" i="11"/>
  <c r="B783" i="11"/>
  <c r="B850" i="11"/>
  <c r="B914" i="11"/>
  <c r="B986" i="11"/>
  <c r="B709" i="11"/>
  <c r="B843" i="11"/>
  <c r="B1003" i="11"/>
  <c r="B836" i="11"/>
  <c r="B157" i="11"/>
  <c r="B401" i="11"/>
  <c r="B376" i="11"/>
  <c r="B686" i="11"/>
  <c r="B409" i="11"/>
  <c r="B703" i="11"/>
  <c r="B990" i="11"/>
  <c r="B927" i="11"/>
  <c r="B840" i="11"/>
  <c r="B940" i="11"/>
  <c r="B977" i="11"/>
  <c r="B707" i="11"/>
  <c r="B813" i="11"/>
  <c r="B901" i="11"/>
  <c r="B248" i="11"/>
  <c r="B304" i="11"/>
  <c r="B242" i="11"/>
  <c r="B638" i="11"/>
  <c r="B345" i="11"/>
  <c r="B628" i="11"/>
  <c r="B934" i="11"/>
  <c r="B879" i="11"/>
  <c r="B808" i="11"/>
  <c r="B924" i="11"/>
  <c r="B953" i="11"/>
  <c r="B685" i="11"/>
  <c r="B797" i="11"/>
  <c r="B885" i="11"/>
  <c r="B83" i="11"/>
  <c r="B339" i="11"/>
  <c r="B92" i="11"/>
  <c r="B65" i="11"/>
  <c r="B321" i="11"/>
  <c r="B524" i="11"/>
  <c r="B417" i="11"/>
  <c r="B210" i="11"/>
  <c r="B119" i="11"/>
  <c r="B375" i="11"/>
  <c r="B128" i="11"/>
  <c r="B101" i="11"/>
  <c r="B138" i="11"/>
  <c r="B576" i="11"/>
  <c r="B203" i="11"/>
  <c r="B459" i="11"/>
  <c r="B212" i="11"/>
  <c r="B201" i="11"/>
  <c r="B368" i="11"/>
  <c r="B72" i="11"/>
  <c r="B78" i="11"/>
  <c r="B645" i="11"/>
  <c r="B594" i="11"/>
  <c r="B292" i="11"/>
  <c r="B615" i="11"/>
  <c r="B906" i="11"/>
  <c r="B851" i="11"/>
  <c r="B775" i="11"/>
  <c r="B61" i="11"/>
  <c r="B520" i="11"/>
  <c r="B358" i="11"/>
  <c r="B565" i="11"/>
  <c r="B330" i="11"/>
  <c r="B534" i="11"/>
  <c r="B662" i="11"/>
  <c r="B758" i="11"/>
  <c r="B118" i="11"/>
  <c r="B332" i="11"/>
  <c r="B420" i="11"/>
  <c r="B505" i="11"/>
  <c r="B571" i="11"/>
  <c r="B635" i="11"/>
  <c r="B713" i="11"/>
  <c r="B798" i="11"/>
  <c r="B862" i="11"/>
  <c r="B926" i="11"/>
  <c r="B632" i="11"/>
  <c r="B725" i="11"/>
  <c r="B807" i="11"/>
  <c r="B871" i="11"/>
  <c r="B935" i="11"/>
  <c r="B999" i="11"/>
  <c r="B716" i="11"/>
  <c r="B800" i="11"/>
  <c r="B864" i="11"/>
  <c r="B928" i="11"/>
  <c r="B992" i="11"/>
  <c r="B994" i="11"/>
  <c r="B717" i="11"/>
  <c r="B801" i="11"/>
  <c r="B865" i="11"/>
  <c r="B929" i="11"/>
  <c r="B811" i="11"/>
  <c r="B907" i="11"/>
  <c r="B657" i="11"/>
  <c r="B785" i="11"/>
  <c r="B884" i="11"/>
  <c r="B223" i="11"/>
  <c r="B479" i="11"/>
  <c r="B232" i="11"/>
  <c r="B205" i="11"/>
  <c r="B373" i="11"/>
  <c r="B596" i="11"/>
  <c r="B286" i="11"/>
  <c r="B422" i="11"/>
  <c r="B529" i="11"/>
  <c r="B613" i="11"/>
  <c r="B226" i="11"/>
  <c r="B397" i="11"/>
  <c r="B504" i="11"/>
  <c r="B570" i="11"/>
  <c r="B634" i="11"/>
  <c r="B698" i="11"/>
  <c r="B762" i="11"/>
  <c r="B134" i="11"/>
  <c r="B340" i="11"/>
  <c r="B425" i="11"/>
  <c r="B510" i="11"/>
  <c r="B575" i="11"/>
  <c r="B639" i="11"/>
  <c r="B719" i="11"/>
  <c r="B802" i="11"/>
  <c r="B866" i="11"/>
  <c r="B930" i="11"/>
  <c r="B644" i="11"/>
  <c r="B731" i="11"/>
  <c r="B891" i="11"/>
  <c r="B700" i="11"/>
  <c r="B175" i="11"/>
  <c r="B294" i="11"/>
  <c r="B513" i="11"/>
  <c r="B488" i="11"/>
  <c r="B750" i="11"/>
  <c r="B494" i="11"/>
  <c r="B788" i="11"/>
  <c r="B715" i="11"/>
  <c r="B991" i="11"/>
  <c r="B872" i="11"/>
  <c r="B964" i="11"/>
  <c r="B1005" i="11"/>
  <c r="B733" i="11"/>
  <c r="B837" i="11"/>
  <c r="B945" i="11"/>
  <c r="B221" i="11"/>
  <c r="B428" i="11"/>
  <c r="B402" i="11"/>
  <c r="B702" i="11"/>
  <c r="B430" i="11"/>
  <c r="B724" i="11"/>
  <c r="B651" i="11"/>
  <c r="B943" i="11"/>
  <c r="B844" i="11"/>
  <c r="B948" i="11"/>
  <c r="B981" i="11"/>
  <c r="B712" i="11"/>
  <c r="B821" i="11"/>
  <c r="B905" i="11"/>
  <c r="B147" i="11"/>
  <c r="B403" i="11"/>
  <c r="B156" i="11"/>
  <c r="B129" i="11"/>
  <c r="B186" i="11"/>
  <c r="B588" i="11"/>
  <c r="B502" i="11"/>
  <c r="B365" i="11"/>
  <c r="B183" i="11"/>
  <c r="B439" i="11"/>
  <c r="B192" i="11"/>
  <c r="B165" i="11"/>
  <c r="B341" i="11"/>
  <c r="B11" i="11"/>
  <c r="B267" i="11"/>
  <c r="B20" i="11"/>
  <c r="B276" i="11"/>
  <c r="B265" i="11"/>
  <c r="B453" i="11"/>
  <c r="B45" i="11"/>
  <c r="B348" i="11"/>
  <c r="B322" i="11"/>
  <c r="B658" i="11"/>
  <c r="B393" i="11"/>
  <c r="B687" i="11"/>
  <c r="B970" i="11"/>
  <c r="B915" i="11"/>
  <c r="B79" i="11"/>
  <c r="B253" i="11"/>
  <c r="B616" i="11"/>
  <c r="B444" i="11"/>
  <c r="B629" i="11"/>
  <c r="B418" i="11"/>
  <c r="B582" i="11"/>
  <c r="B694" i="11"/>
  <c r="B774" i="11"/>
  <c r="B182" i="11"/>
  <c r="B356" i="11"/>
  <c r="B441" i="11"/>
  <c r="B523" i="11"/>
  <c r="B587" i="11"/>
  <c r="B649" i="11"/>
  <c r="B735" i="11"/>
  <c r="B814" i="11"/>
  <c r="B878" i="11"/>
  <c r="B942" i="11"/>
  <c r="B661" i="11"/>
  <c r="B747" i="11"/>
  <c r="B823" i="11"/>
  <c r="B887" i="11"/>
  <c r="B951" i="11"/>
  <c r="B652" i="11"/>
  <c r="B737" i="11"/>
  <c r="B816" i="11"/>
  <c r="B880" i="11"/>
  <c r="B944" i="11"/>
  <c r="B941" i="11"/>
  <c r="B653" i="11"/>
  <c r="B739" i="11"/>
  <c r="B817" i="11"/>
  <c r="B881" i="11"/>
  <c r="B949" i="11"/>
  <c r="B827" i="11"/>
  <c r="B923" i="11"/>
  <c r="B679" i="11"/>
  <c r="B820" i="11"/>
  <c r="B31" i="11"/>
  <c r="B287" i="11"/>
  <c r="B40" i="11"/>
  <c r="B13" i="11"/>
  <c r="B269" i="11"/>
  <c r="B458" i="11"/>
  <c r="B14" i="11"/>
  <c r="B336" i="11"/>
  <c r="B449" i="11"/>
  <c r="B549" i="11"/>
  <c r="B637" i="11"/>
  <c r="B298" i="11"/>
  <c r="B424" i="11"/>
  <c r="B522" i="11"/>
  <c r="B586" i="11"/>
  <c r="B650" i="11"/>
  <c r="B714" i="11"/>
  <c r="B778" i="11"/>
  <c r="B198" i="11"/>
  <c r="B361" i="11"/>
  <c r="B446" i="11"/>
  <c r="B527" i="11"/>
  <c r="B591" i="11"/>
  <c r="B655" i="11"/>
  <c r="B740" i="11"/>
  <c r="B818" i="11"/>
  <c r="B882" i="11"/>
  <c r="B946" i="11"/>
  <c r="B667" i="11"/>
  <c r="B773" i="11"/>
  <c r="B939" i="11"/>
  <c r="B743" i="11"/>
  <c r="B431" i="11"/>
  <c r="B568" i="11"/>
  <c r="B597" i="11"/>
  <c r="B558" i="11"/>
  <c r="B86" i="11"/>
  <c r="B563" i="11"/>
  <c r="B854" i="11"/>
  <c r="B799" i="11"/>
  <c r="B705" i="11"/>
  <c r="B900" i="11"/>
  <c r="B984" i="11"/>
  <c r="B648" i="11"/>
  <c r="B765" i="11"/>
  <c r="B857" i="11"/>
  <c r="B239" i="11"/>
  <c r="B394" i="11"/>
  <c r="B533" i="11"/>
  <c r="B509" i="11"/>
  <c r="B766" i="11"/>
  <c r="B220" i="11"/>
  <c r="B569" i="11"/>
  <c r="B256" i="11"/>
  <c r="B331" i="11"/>
  <c r="B63" i="11"/>
  <c r="B722" i="11"/>
  <c r="B979" i="11"/>
  <c r="B470" i="11"/>
  <c r="B710" i="11"/>
  <c r="B462" i="11"/>
  <c r="B756" i="11"/>
  <c r="B683" i="11"/>
  <c r="B967" i="11"/>
  <c r="B896" i="11"/>
  <c r="B760" i="11"/>
  <c r="B859" i="11"/>
  <c r="B95" i="11"/>
  <c r="B333" i="11"/>
  <c r="B476" i="11"/>
  <c r="B456" i="11"/>
  <c r="B730" i="11"/>
  <c r="B468" i="11"/>
  <c r="B761" i="11"/>
  <c r="B688" i="11"/>
  <c r="B184" i="11"/>
  <c r="B316" i="11"/>
  <c r="B791" i="11"/>
  <c r="B792" i="11"/>
  <c r="B621" i="11"/>
  <c r="B579" i="11"/>
  <c r="B815" i="11"/>
  <c r="B904" i="11"/>
  <c r="B659" i="11"/>
  <c r="B861" i="11"/>
  <c r="B47" i="11"/>
  <c r="B480" i="11"/>
  <c r="B557" i="11"/>
  <c r="B526" i="11"/>
  <c r="B782" i="11"/>
  <c r="B531" i="11"/>
  <c r="B822" i="11"/>
  <c r="B757" i="11"/>
  <c r="B663" i="11"/>
  <c r="B888" i="11"/>
  <c r="B972" i="11"/>
  <c r="B1002" i="11"/>
  <c r="B749" i="11"/>
  <c r="B845" i="11"/>
  <c r="B933" i="11"/>
  <c r="B278" i="11"/>
  <c r="B767" i="11"/>
  <c r="B911" i="11"/>
  <c r="B916" i="11"/>
  <c r="B1001" i="11"/>
  <c r="B829" i="11"/>
  <c r="B985" i="11"/>
  <c r="B120" i="11"/>
  <c r="B142" i="11"/>
  <c r="B66" i="11"/>
  <c r="B670" i="11"/>
  <c r="B838" i="11"/>
  <c r="B828" i="11"/>
  <c r="B640" i="11"/>
  <c r="B893" i="11"/>
  <c r="B8" i="11"/>
  <c r="B162" i="11"/>
  <c r="B150" i="11"/>
  <c r="B961" i="11"/>
  <c r="B306" i="11"/>
  <c r="B366" i="11"/>
  <c r="B895" i="11"/>
  <c r="B957" i="11"/>
  <c r="B889" i="11"/>
  <c r="B547" i="11"/>
  <c r="B769" i="11"/>
  <c r="B873" i="11"/>
  <c r="B486" i="11"/>
  <c r="B473" i="11"/>
  <c r="B755" i="11"/>
  <c r="B467" i="11"/>
  <c r="B440" i="11"/>
  <c r="B598" i="11"/>
  <c r="B958" i="11"/>
  <c r="B675" i="11"/>
  <c r="B77" i="11"/>
  <c r="B666" i="11"/>
  <c r="B382" i="11"/>
  <c r="B863" i="11"/>
  <c r="B736" i="11"/>
  <c r="B841" i="11"/>
  <c r="B434" i="11"/>
  <c r="B672" i="11"/>
  <c r="B952" i="11"/>
  <c r="B989" i="11"/>
  <c r="B734" i="11"/>
  <c r="B779" i="11"/>
  <c r="B787" i="11"/>
  <c r="B193" i="11"/>
  <c r="B450" i="11"/>
  <c r="B229" i="11"/>
  <c r="B84" i="11"/>
  <c r="B301" i="11"/>
  <c r="B478" i="11"/>
  <c r="B335" i="11"/>
  <c r="B34" i="11"/>
  <c r="B790" i="11"/>
  <c r="B539" i="11"/>
  <c r="B830" i="11"/>
  <c r="B768" i="11"/>
  <c r="B673" i="11"/>
  <c r="B960" i="11"/>
  <c r="B833" i="11"/>
  <c r="B955" i="11"/>
  <c r="B351" i="11"/>
  <c r="B532" i="11"/>
  <c r="B573" i="11"/>
  <c r="B538" i="11"/>
  <c r="B794" i="11"/>
  <c r="B543" i="11"/>
  <c r="B834" i="11"/>
  <c r="B795" i="11"/>
  <c r="B222" i="11"/>
  <c r="B627" i="11"/>
  <c r="B920" i="11"/>
  <c r="B877" i="11"/>
  <c r="B574" i="11"/>
  <c r="B806" i="11"/>
  <c r="B636" i="11"/>
  <c r="B968" i="11"/>
  <c r="B744" i="11"/>
  <c r="B925" i="11"/>
  <c r="B303" i="11"/>
  <c r="B30" i="11"/>
  <c r="B641" i="11"/>
  <c r="B590" i="11"/>
  <c r="B214" i="11"/>
  <c r="B595" i="11"/>
  <c r="B886" i="11"/>
  <c r="B831" i="11"/>
  <c r="B748" i="11"/>
  <c r="B908" i="11"/>
  <c r="B996" i="11"/>
  <c r="B664" i="11"/>
  <c r="B776" i="11"/>
  <c r="B869" i="11"/>
  <c r="B969" i="11"/>
  <c r="B388" i="11"/>
  <c r="B902" i="11"/>
  <c r="B684" i="11"/>
  <c r="B936" i="11"/>
  <c r="B669" i="11"/>
  <c r="B853" i="11"/>
  <c r="B982" i="11"/>
  <c r="B93" i="11"/>
  <c r="B369" i="11"/>
  <c r="B349" i="11"/>
  <c r="B22" i="11"/>
  <c r="B693" i="11"/>
  <c r="B892" i="11"/>
  <c r="B701" i="11"/>
  <c r="B917" i="11"/>
  <c r="B602" i="11"/>
  <c r="B898" i="11"/>
  <c r="B971" i="11"/>
  <c r="B1004" i="11"/>
  <c r="B870" i="11"/>
  <c r="B771" i="11"/>
  <c r="B29" i="11"/>
  <c r="B654" i="11"/>
  <c r="B660" i="11"/>
  <c r="B824" i="11"/>
  <c r="B691" i="11"/>
  <c r="B542" i="11"/>
  <c r="B980" i="11"/>
  <c r="B111" i="11"/>
  <c r="B461" i="11"/>
  <c r="B956" i="11"/>
  <c r="B503" i="11"/>
  <c r="B75" i="11"/>
  <c r="B699" i="11"/>
  <c r="B377" i="11"/>
  <c r="B903" i="11"/>
  <c r="B997" i="11"/>
  <c r="B338" i="11"/>
  <c r="B676" i="11"/>
  <c r="B804" i="11"/>
  <c r="B680" i="11"/>
  <c r="B600" i="11"/>
  <c r="B876" i="11"/>
  <c r="B1006" i="11"/>
  <c r="B454" i="11"/>
  <c r="B745" i="11"/>
  <c r="B959" i="11"/>
  <c r="B825" i="11"/>
  <c r="B909" i="11"/>
  <c r="B1000" i="11"/>
  <c r="B937" i="11"/>
  <c r="B536" i="11"/>
  <c r="B681" i="11"/>
  <c r="B965" i="11"/>
  <c r="B7" i="11"/>
  <c r="B211" i="11"/>
  <c r="B357" i="11"/>
  <c r="B247" i="11"/>
  <c r="B426" i="11"/>
  <c r="B73" i="11"/>
  <c r="B465" i="11"/>
  <c r="B772" i="11"/>
  <c r="B317" i="11"/>
  <c r="B445" i="11"/>
  <c r="B246" i="11"/>
  <c r="B603" i="11"/>
  <c r="B894" i="11"/>
  <c r="B839" i="11"/>
  <c r="B759" i="11"/>
  <c r="B973" i="11"/>
  <c r="B897" i="11"/>
  <c r="B721" i="11"/>
  <c r="B104" i="11"/>
  <c r="B126" i="11"/>
  <c r="B50" i="11"/>
  <c r="B262" i="11"/>
  <c r="B607" i="11"/>
  <c r="B918" i="11"/>
  <c r="B495" i="11"/>
  <c r="B727" i="11"/>
  <c r="B988" i="11"/>
  <c r="B342" i="11"/>
  <c r="B950" i="11"/>
  <c r="B932" i="11"/>
  <c r="B805" i="11"/>
  <c r="B966" i="11"/>
  <c r="B728" i="11"/>
  <c r="B42" i="11"/>
  <c r="B847" i="11"/>
  <c r="B921" i="11"/>
  <c r="B110" i="11"/>
  <c r="B329" i="11"/>
  <c r="B94" i="11"/>
  <c r="B671" i="11"/>
  <c r="B832" i="11"/>
  <c r="B852" i="11"/>
  <c r="B364" i="11"/>
  <c r="B962" i="11"/>
  <c r="B622" i="11"/>
  <c r="B515" i="11"/>
  <c r="B978" i="11"/>
  <c r="B285" i="11"/>
  <c r="B718" i="11"/>
  <c r="B452" i="11"/>
  <c r="B856" i="11"/>
  <c r="B723" i="11"/>
  <c r="B611" i="11"/>
  <c r="B860" i="11"/>
  <c r="B367" i="11"/>
  <c r="B577" i="11"/>
  <c r="B606" i="11"/>
  <c r="B975" i="11"/>
  <c r="B809" i="11"/>
  <c r="B74" i="11"/>
  <c r="B62" i="11"/>
  <c r="B56" i="11"/>
  <c r="B51" i="11"/>
  <c r="B38" i="11"/>
  <c r="B9" i="11"/>
  <c r="F1006" i="11" l="1"/>
  <c r="F1001" i="11"/>
  <c r="F995" i="11"/>
  <c r="F990" i="11"/>
  <c r="F985" i="11"/>
  <c r="F979" i="11"/>
  <c r="F1005" i="11"/>
  <c r="F999" i="11"/>
  <c r="F994" i="11"/>
  <c r="F989" i="11"/>
  <c r="F983" i="11"/>
  <c r="F978" i="11"/>
  <c r="F1003" i="11"/>
  <c r="F998" i="11"/>
  <c r="F993" i="11"/>
  <c r="F987" i="11"/>
  <c r="F982" i="11"/>
  <c r="F975" i="11"/>
  <c r="F1002" i="11"/>
  <c r="F997" i="11"/>
  <c r="F991" i="11"/>
  <c r="F986" i="11"/>
  <c r="F981" i="11"/>
  <c r="F971" i="11"/>
  <c r="F974" i="11"/>
  <c r="F970" i="11"/>
  <c r="F966" i="11"/>
  <c r="F962" i="11"/>
  <c r="F958" i="11"/>
  <c r="F954" i="11"/>
  <c r="F950" i="11"/>
  <c r="F946" i="11"/>
  <c r="F942" i="11"/>
  <c r="F938" i="11"/>
  <c r="F934" i="11"/>
  <c r="F930" i="11"/>
  <c r="F926" i="11"/>
  <c r="F922" i="11"/>
  <c r="F918" i="11"/>
  <c r="F914" i="11"/>
  <c r="F910" i="11"/>
  <c r="F906" i="11"/>
  <c r="F902" i="11"/>
  <c r="F898" i="11"/>
  <c r="F894" i="11"/>
  <c r="F890" i="11"/>
  <c r="F886" i="11"/>
  <c r="F882" i="11"/>
  <c r="F878" i="11"/>
  <c r="F874" i="11"/>
  <c r="F870" i="11"/>
  <c r="F866" i="11"/>
  <c r="F862" i="11"/>
  <c r="F858" i="11"/>
  <c r="F854" i="11"/>
  <c r="F850" i="11"/>
  <c r="F846" i="11"/>
  <c r="F842" i="11"/>
  <c r="F838" i="11"/>
  <c r="F834" i="11"/>
  <c r="F830" i="11"/>
  <c r="F826" i="11"/>
  <c r="F822" i="11"/>
  <c r="F818" i="11"/>
  <c r="F814" i="11"/>
  <c r="F810" i="11"/>
  <c r="F806" i="11"/>
  <c r="F802" i="11"/>
  <c r="F798" i="11"/>
  <c r="F794" i="11"/>
  <c r="F790" i="11"/>
  <c r="F786" i="11"/>
  <c r="F782" i="11"/>
  <c r="F778" i="11"/>
  <c r="F773" i="11"/>
  <c r="F768" i="11"/>
  <c r="F763" i="11"/>
  <c r="F757" i="11"/>
  <c r="F752" i="11"/>
  <c r="F747" i="11"/>
  <c r="F741" i="11"/>
  <c r="F736" i="11"/>
  <c r="F731" i="11"/>
  <c r="F725" i="11"/>
  <c r="F720" i="11"/>
  <c r="F715" i="11"/>
  <c r="F709" i="11"/>
  <c r="F704" i="11"/>
  <c r="F699" i="11"/>
  <c r="F693" i="11"/>
  <c r="F688" i="11"/>
  <c r="F683" i="11"/>
  <c r="F677" i="11"/>
  <c r="F672" i="11"/>
  <c r="F667" i="11"/>
  <c r="F661" i="11"/>
  <c r="F656" i="11"/>
  <c r="F651" i="11"/>
  <c r="F645" i="11"/>
  <c r="F640" i="11"/>
  <c r="F635" i="11"/>
  <c r="F629" i="11"/>
  <c r="F624" i="11"/>
  <c r="F619" i="11"/>
  <c r="F613" i="11"/>
  <c r="F607" i="11"/>
  <c r="F599" i="11"/>
  <c r="F587" i="11"/>
  <c r="F571" i="11"/>
  <c r="F555" i="11"/>
  <c r="F539" i="11"/>
  <c r="F977" i="11"/>
  <c r="F973" i="11"/>
  <c r="F969" i="11"/>
  <c r="F965" i="11"/>
  <c r="F961" i="11"/>
  <c r="F957" i="11"/>
  <c r="F953" i="11"/>
  <c r="F949" i="11"/>
  <c r="F945" i="11"/>
  <c r="F941" i="11"/>
  <c r="F937" i="11"/>
  <c r="F933" i="11"/>
  <c r="F929" i="11"/>
  <c r="F925" i="11"/>
  <c r="F921" i="11"/>
  <c r="F917" i="11"/>
  <c r="F913" i="11"/>
  <c r="F909" i="11"/>
  <c r="F905" i="11"/>
  <c r="F901" i="11"/>
  <c r="F897" i="11"/>
  <c r="F893" i="11"/>
  <c r="F889" i="11"/>
  <c r="F885" i="11"/>
  <c r="F881" i="11"/>
  <c r="F877" i="11"/>
  <c r="F873" i="11"/>
  <c r="F869" i="11"/>
  <c r="F865" i="11"/>
  <c r="F861" i="11"/>
  <c r="F857" i="11"/>
  <c r="F853" i="11"/>
  <c r="F849" i="11"/>
  <c r="F845" i="11"/>
  <c r="F841" i="11"/>
  <c r="F837" i="11"/>
  <c r="F833" i="11"/>
  <c r="F829" i="11"/>
  <c r="F825" i="11"/>
  <c r="F821" i="11"/>
  <c r="F817" i="11"/>
  <c r="F813" i="11"/>
  <c r="F809" i="11"/>
  <c r="F805" i="11"/>
  <c r="F801" i="11"/>
  <c r="F797" i="11"/>
  <c r="F793" i="11"/>
  <c r="F789" i="11"/>
  <c r="F785" i="11"/>
  <c r="F781" i="11"/>
  <c r="F777" i="11"/>
  <c r="F772" i="11"/>
  <c r="F767" i="11"/>
  <c r="F761" i="11"/>
  <c r="F756" i="11"/>
  <c r="F751" i="11"/>
  <c r="F745" i="11"/>
  <c r="F740" i="11"/>
  <c r="F735" i="11"/>
  <c r="F729" i="11"/>
  <c r="F724" i="11"/>
  <c r="F719" i="11"/>
  <c r="F713" i="11"/>
  <c r="F708" i="11"/>
  <c r="F703" i="11"/>
  <c r="F697" i="11"/>
  <c r="F692" i="11"/>
  <c r="F687" i="11"/>
  <c r="F681" i="11"/>
  <c r="F676" i="11"/>
  <c r="F671" i="11"/>
  <c r="F665" i="11"/>
  <c r="F660" i="11"/>
  <c r="F655" i="11"/>
  <c r="F649" i="11"/>
  <c r="F644" i="11"/>
  <c r="F639" i="11"/>
  <c r="F633" i="11"/>
  <c r="F628" i="11"/>
  <c r="F623" i="11"/>
  <c r="F617" i="11"/>
  <c r="F612" i="11"/>
  <c r="F605" i="11"/>
  <c r="F597" i="11"/>
  <c r="F583" i="11"/>
  <c r="F567" i="11"/>
  <c r="F551" i="11"/>
  <c r="F535" i="11"/>
  <c r="F1004" i="11"/>
  <c r="F1000" i="11"/>
  <c r="F996" i="11"/>
  <c r="F992" i="11"/>
  <c r="F988" i="11"/>
  <c r="F984" i="11"/>
  <c r="F980" i="11"/>
  <c r="F976" i="11"/>
  <c r="F972" i="11"/>
  <c r="F968" i="11"/>
  <c r="F964" i="11"/>
  <c r="F960" i="11"/>
  <c r="F956" i="11"/>
  <c r="F952" i="11"/>
  <c r="F948" i="11"/>
  <c r="F944" i="11"/>
  <c r="F940" i="11"/>
  <c r="F936" i="11"/>
  <c r="F932" i="11"/>
  <c r="F928" i="11"/>
  <c r="F924" i="11"/>
  <c r="F920" i="11"/>
  <c r="F916" i="11"/>
  <c r="F912" i="11"/>
  <c r="F908" i="11"/>
  <c r="F904" i="11"/>
  <c r="F900" i="11"/>
  <c r="F896" i="11"/>
  <c r="F892" i="11"/>
  <c r="F888" i="11"/>
  <c r="F884" i="11"/>
  <c r="F880" i="11"/>
  <c r="F876" i="11"/>
  <c r="F872" i="11"/>
  <c r="F868" i="11"/>
  <c r="F864" i="11"/>
  <c r="F860" i="11"/>
  <c r="F856" i="11"/>
  <c r="F852" i="11"/>
  <c r="F848" i="11"/>
  <c r="F844" i="11"/>
  <c r="F840" i="11"/>
  <c r="F836" i="11"/>
  <c r="F832" i="11"/>
  <c r="F828" i="11"/>
  <c r="F824" i="11"/>
  <c r="F820" i="11"/>
  <c r="F816" i="11"/>
  <c r="F812" i="11"/>
  <c r="F808" i="11"/>
  <c r="F804" i="11"/>
  <c r="F800" i="11"/>
  <c r="F796" i="11"/>
  <c r="F792" i="11"/>
  <c r="F788" i="11"/>
  <c r="F784" i="11"/>
  <c r="F780" i="11"/>
  <c r="F776" i="11"/>
  <c r="F771" i="11"/>
  <c r="F765" i="11"/>
  <c r="F760" i="11"/>
  <c r="F755" i="11"/>
  <c r="F749" i="11"/>
  <c r="F744" i="11"/>
  <c r="F739" i="11"/>
  <c r="F733" i="11"/>
  <c r="F728" i="11"/>
  <c r="F723" i="11"/>
  <c r="F717" i="11"/>
  <c r="F712" i="11"/>
  <c r="F707" i="11"/>
  <c r="F701" i="11"/>
  <c r="F696" i="11"/>
  <c r="F691" i="11"/>
  <c r="F685" i="11"/>
  <c r="F680" i="11"/>
  <c r="F675" i="11"/>
  <c r="F669" i="11"/>
  <c r="F664" i="11"/>
  <c r="F659" i="11"/>
  <c r="F653" i="11"/>
  <c r="F648" i="11"/>
  <c r="F643" i="11"/>
  <c r="F637" i="11"/>
  <c r="F632" i="11"/>
  <c r="F627" i="11"/>
  <c r="F621" i="11"/>
  <c r="F616" i="11"/>
  <c r="F611" i="11"/>
  <c r="F603" i="11"/>
  <c r="F595" i="11"/>
  <c r="F579" i="11"/>
  <c r="F563" i="11"/>
  <c r="F547" i="11"/>
  <c r="F531" i="11"/>
  <c r="F967" i="11"/>
  <c r="F963" i="11"/>
  <c r="F959" i="11"/>
  <c r="F955" i="11"/>
  <c r="F951" i="11"/>
  <c r="F947" i="11"/>
  <c r="F943" i="11"/>
  <c r="F939" i="11"/>
  <c r="F935" i="11"/>
  <c r="F931" i="11"/>
  <c r="F927" i="11"/>
  <c r="F923" i="11"/>
  <c r="F919" i="11"/>
  <c r="F915" i="11"/>
  <c r="F911" i="11"/>
  <c r="F907" i="11"/>
  <c r="F903" i="11"/>
  <c r="F899" i="11"/>
  <c r="F895" i="11"/>
  <c r="F891" i="11"/>
  <c r="F887" i="11"/>
  <c r="F883" i="11"/>
  <c r="F879" i="11"/>
  <c r="F875" i="11"/>
  <c r="F871" i="11"/>
  <c r="F867" i="11"/>
  <c r="F863" i="11"/>
  <c r="F859" i="11"/>
  <c r="F855" i="11"/>
  <c r="F851" i="11"/>
  <c r="F847" i="11"/>
  <c r="F843" i="11"/>
  <c r="F839" i="11"/>
  <c r="F835" i="11"/>
  <c r="F831" i="11"/>
  <c r="F827" i="11"/>
  <c r="F823" i="11"/>
  <c r="F819" i="11"/>
  <c r="F815" i="11"/>
  <c r="F811" i="11"/>
  <c r="F807" i="11"/>
  <c r="F803" i="11"/>
  <c r="F799" i="11"/>
  <c r="F795" i="11"/>
  <c r="F791" i="11"/>
  <c r="F787" i="11"/>
  <c r="F783" i="11"/>
  <c r="F779" i="11"/>
  <c r="F775" i="11"/>
  <c r="F769" i="11"/>
  <c r="F764" i="11"/>
  <c r="F759" i="11"/>
  <c r="F753" i="11"/>
  <c r="F748" i="11"/>
  <c r="F743" i="11"/>
  <c r="F737" i="11"/>
  <c r="F732" i="11"/>
  <c r="F727" i="11"/>
  <c r="F721" i="11"/>
  <c r="F716" i="11"/>
  <c r="F711" i="11"/>
  <c r="F705" i="11"/>
  <c r="F700" i="11"/>
  <c r="F695" i="11"/>
  <c r="F689" i="11"/>
  <c r="F684" i="11"/>
  <c r="F679" i="11"/>
  <c r="F673" i="11"/>
  <c r="F668" i="11"/>
  <c r="F663" i="11"/>
  <c r="F657" i="11"/>
  <c r="F652" i="11"/>
  <c r="F647" i="11"/>
  <c r="F641" i="11"/>
  <c r="F636" i="11"/>
  <c r="F631" i="11"/>
  <c r="F625" i="11"/>
  <c r="F620" i="11"/>
  <c r="F615" i="11"/>
  <c r="F609" i="11"/>
  <c r="F601" i="11"/>
  <c r="F591" i="11"/>
  <c r="F575" i="11"/>
  <c r="F559" i="11"/>
  <c r="F543" i="11"/>
  <c r="F527" i="11"/>
  <c r="F593" i="11"/>
  <c r="F589" i="11"/>
  <c r="F585" i="11"/>
  <c r="F581" i="11"/>
  <c r="F577" i="11"/>
  <c r="F573" i="11"/>
  <c r="F569" i="11"/>
  <c r="F565" i="11"/>
  <c r="F561" i="11"/>
  <c r="F557" i="11"/>
  <c r="F553" i="11"/>
  <c r="F549" i="11"/>
  <c r="F545" i="11"/>
  <c r="F541" i="11"/>
  <c r="F537" i="11"/>
  <c r="F533" i="11"/>
  <c r="F529" i="11"/>
  <c r="F525" i="11"/>
  <c r="F521" i="11"/>
  <c r="F517" i="11"/>
  <c r="F512" i="11"/>
  <c r="F507" i="11"/>
  <c r="F502" i="11"/>
  <c r="F496" i="11"/>
  <c r="F491" i="11"/>
  <c r="F486" i="11"/>
  <c r="F480" i="11"/>
  <c r="F475" i="11"/>
  <c r="F470" i="11"/>
  <c r="F464" i="11"/>
  <c r="F459" i="11"/>
  <c r="F454" i="11"/>
  <c r="F448" i="11"/>
  <c r="F443" i="11"/>
  <c r="F438" i="11"/>
  <c r="F432" i="11"/>
  <c r="F427" i="11"/>
  <c r="F422" i="11"/>
  <c r="F416" i="11"/>
  <c r="F411" i="11"/>
  <c r="F406" i="11"/>
  <c r="F400" i="11"/>
  <c r="F395" i="11"/>
  <c r="F390" i="11"/>
  <c r="F384" i="11"/>
  <c r="F379" i="11"/>
  <c r="F374" i="11"/>
  <c r="F368" i="11"/>
  <c r="F363" i="11"/>
  <c r="F358" i="11"/>
  <c r="F352" i="11"/>
  <c r="F347" i="11"/>
  <c r="F342" i="11"/>
  <c r="F335" i="11"/>
  <c r="F327" i="11"/>
  <c r="F319" i="11"/>
  <c r="F311" i="11"/>
  <c r="F303" i="11"/>
  <c r="F295" i="11"/>
  <c r="F287" i="11"/>
  <c r="F279" i="11"/>
  <c r="F271" i="11"/>
  <c r="F263" i="11"/>
  <c r="F255" i="11"/>
  <c r="F247" i="11"/>
  <c r="F239" i="11"/>
  <c r="F231" i="11"/>
  <c r="F223" i="11"/>
  <c r="F215" i="11"/>
  <c r="F199" i="11"/>
  <c r="F183" i="11"/>
  <c r="F167" i="11"/>
  <c r="F151" i="11"/>
  <c r="F135" i="11"/>
  <c r="F119" i="11"/>
  <c r="F103" i="11"/>
  <c r="F87" i="11"/>
  <c r="F71" i="11"/>
  <c r="F55" i="11"/>
  <c r="F39" i="11"/>
  <c r="F23" i="11"/>
  <c r="F608" i="11"/>
  <c r="F604" i="11"/>
  <c r="F600" i="11"/>
  <c r="F596" i="11"/>
  <c r="F592" i="11"/>
  <c r="F588" i="11"/>
  <c r="F584" i="11"/>
  <c r="F580" i="11"/>
  <c r="F576" i="11"/>
  <c r="F572" i="11"/>
  <c r="F568" i="11"/>
  <c r="F564" i="11"/>
  <c r="F560" i="11"/>
  <c r="F556" i="11"/>
  <c r="F552" i="11"/>
  <c r="F548" i="11"/>
  <c r="F544" i="11"/>
  <c r="F540" i="11"/>
  <c r="F536" i="11"/>
  <c r="F532" i="11"/>
  <c r="F528" i="11"/>
  <c r="F524" i="11"/>
  <c r="F520" i="11"/>
  <c r="F516" i="11"/>
  <c r="F511" i="11"/>
  <c r="F506" i="11"/>
  <c r="F500" i="11"/>
  <c r="F495" i="11"/>
  <c r="F490" i="11"/>
  <c r="F484" i="11"/>
  <c r="F479" i="11"/>
  <c r="F474" i="11"/>
  <c r="F468" i="11"/>
  <c r="F463" i="11"/>
  <c r="F458" i="11"/>
  <c r="F452" i="11"/>
  <c r="F447" i="11"/>
  <c r="F442" i="11"/>
  <c r="F436" i="11"/>
  <c r="F431" i="11"/>
  <c r="F426" i="11"/>
  <c r="F420" i="11"/>
  <c r="F415" i="11"/>
  <c r="F410" i="11"/>
  <c r="F404" i="11"/>
  <c r="F399" i="11"/>
  <c r="F394" i="11"/>
  <c r="F388" i="11"/>
  <c r="F383" i="11"/>
  <c r="F378" i="11"/>
  <c r="F372" i="11"/>
  <c r="F367" i="11"/>
  <c r="F362" i="11"/>
  <c r="F356" i="11"/>
  <c r="F351" i="11"/>
  <c r="F346" i="11"/>
  <c r="F340" i="11"/>
  <c r="F332" i="11"/>
  <c r="F324" i="11"/>
  <c r="F316" i="11"/>
  <c r="F308" i="11"/>
  <c r="F300" i="11"/>
  <c r="F292" i="11"/>
  <c r="F284" i="11"/>
  <c r="F276" i="11"/>
  <c r="F268" i="11"/>
  <c r="F260" i="11"/>
  <c r="F252" i="11"/>
  <c r="F244" i="11"/>
  <c r="F236" i="11"/>
  <c r="F228" i="11"/>
  <c r="F220" i="11"/>
  <c r="F211" i="11"/>
  <c r="F195" i="11"/>
  <c r="F179" i="11"/>
  <c r="F163" i="11"/>
  <c r="F147" i="11"/>
  <c r="F131" i="11"/>
  <c r="F115" i="11"/>
  <c r="F99" i="11"/>
  <c r="F83" i="11"/>
  <c r="F67" i="11"/>
  <c r="F51" i="11"/>
  <c r="F35" i="11"/>
  <c r="F19" i="11"/>
  <c r="F523" i="11"/>
  <c r="F519" i="11"/>
  <c r="F515" i="11"/>
  <c r="F510" i="11"/>
  <c r="F504" i="11"/>
  <c r="F499" i="11"/>
  <c r="F494" i="11"/>
  <c r="F488" i="11"/>
  <c r="F483" i="11"/>
  <c r="F478" i="11"/>
  <c r="F472" i="11"/>
  <c r="F467" i="11"/>
  <c r="F462" i="11"/>
  <c r="F456" i="11"/>
  <c r="F451" i="11"/>
  <c r="F446" i="11"/>
  <c r="F440" i="11"/>
  <c r="F435" i="11"/>
  <c r="F430" i="11"/>
  <c r="F424" i="11"/>
  <c r="F419" i="11"/>
  <c r="F414" i="11"/>
  <c r="F408" i="11"/>
  <c r="F403" i="11"/>
  <c r="F398" i="11"/>
  <c r="F392" i="11"/>
  <c r="F387" i="11"/>
  <c r="F382" i="11"/>
  <c r="F376" i="11"/>
  <c r="F371" i="11"/>
  <c r="F366" i="11"/>
  <c r="F360" i="11"/>
  <c r="F355" i="11"/>
  <c r="F350" i="11"/>
  <c r="F344" i="11"/>
  <c r="F339" i="11"/>
  <c r="F331" i="11"/>
  <c r="F323" i="11"/>
  <c r="F315" i="11"/>
  <c r="F307" i="11"/>
  <c r="F299" i="11"/>
  <c r="F291" i="11"/>
  <c r="F283" i="11"/>
  <c r="F275" i="11"/>
  <c r="F267" i="11"/>
  <c r="F259" i="11"/>
  <c r="F251" i="11"/>
  <c r="F243" i="11"/>
  <c r="F235" i="11"/>
  <c r="F227" i="11"/>
  <c r="F219" i="11"/>
  <c r="F207" i="11"/>
  <c r="F191" i="11"/>
  <c r="F175" i="11"/>
  <c r="F159" i="11"/>
  <c r="F143" i="11"/>
  <c r="F127" i="11"/>
  <c r="F111" i="11"/>
  <c r="F95" i="11"/>
  <c r="F79" i="11"/>
  <c r="F63" i="11"/>
  <c r="F47" i="11"/>
  <c r="F31" i="11"/>
  <c r="F15" i="11"/>
  <c r="F774" i="11"/>
  <c r="F770" i="11"/>
  <c r="F766" i="11"/>
  <c r="F762" i="11"/>
  <c r="F758" i="11"/>
  <c r="F754" i="11"/>
  <c r="F750" i="11"/>
  <c r="F746" i="11"/>
  <c r="F742" i="11"/>
  <c r="F738" i="11"/>
  <c r="F734" i="11"/>
  <c r="F730" i="11"/>
  <c r="F726" i="11"/>
  <c r="F722" i="11"/>
  <c r="F718" i="11"/>
  <c r="F714" i="11"/>
  <c r="F710" i="11"/>
  <c r="F706" i="11"/>
  <c r="F702" i="11"/>
  <c r="F698" i="11"/>
  <c r="F694" i="11"/>
  <c r="F690" i="11"/>
  <c r="F686" i="11"/>
  <c r="F682" i="11"/>
  <c r="F678" i="11"/>
  <c r="F674" i="11"/>
  <c r="F670" i="11"/>
  <c r="F666" i="11"/>
  <c r="F662" i="11"/>
  <c r="F658" i="11"/>
  <c r="F654" i="11"/>
  <c r="F650" i="11"/>
  <c r="F646" i="11"/>
  <c r="F642" i="11"/>
  <c r="F638" i="11"/>
  <c r="F634" i="11"/>
  <c r="F630" i="11"/>
  <c r="F626" i="11"/>
  <c r="F622" i="11"/>
  <c r="F618" i="11"/>
  <c r="F614" i="11"/>
  <c r="F610" i="11"/>
  <c r="F606" i="11"/>
  <c r="F602" i="11"/>
  <c r="F598" i="11"/>
  <c r="F594" i="11"/>
  <c r="F590" i="11"/>
  <c r="F586" i="11"/>
  <c r="F582" i="11"/>
  <c r="F578" i="11"/>
  <c r="F574" i="11"/>
  <c r="F570" i="11"/>
  <c r="F566" i="11"/>
  <c r="F562" i="11"/>
  <c r="F558" i="11"/>
  <c r="F554" i="11"/>
  <c r="F550" i="11"/>
  <c r="F546" i="11"/>
  <c r="F542" i="11"/>
  <c r="F538" i="11"/>
  <c r="F534" i="11"/>
  <c r="F530" i="11"/>
  <c r="F526" i="11"/>
  <c r="F522" i="11"/>
  <c r="F518" i="11"/>
  <c r="F514" i="11"/>
  <c r="F508" i="11"/>
  <c r="F503" i="11"/>
  <c r="F498" i="11"/>
  <c r="F492" i="11"/>
  <c r="F487" i="11"/>
  <c r="F482" i="11"/>
  <c r="F476" i="11"/>
  <c r="F471" i="11"/>
  <c r="F466" i="11"/>
  <c r="F460" i="11"/>
  <c r="F455" i="11"/>
  <c r="F450" i="11"/>
  <c r="F444" i="11"/>
  <c r="F439" i="11"/>
  <c r="F434" i="11"/>
  <c r="F428" i="11"/>
  <c r="F423" i="11"/>
  <c r="F418" i="11"/>
  <c r="F412" i="11"/>
  <c r="F407" i="11"/>
  <c r="F402" i="11"/>
  <c r="F396" i="11"/>
  <c r="F391" i="11"/>
  <c r="F386" i="11"/>
  <c r="F380" i="11"/>
  <c r="F375" i="11"/>
  <c r="F370" i="11"/>
  <c r="F364" i="11"/>
  <c r="F359" i="11"/>
  <c r="F354" i="11"/>
  <c r="F348" i="11"/>
  <c r="F343" i="11"/>
  <c r="F336" i="11"/>
  <c r="F328" i="11"/>
  <c r="F320" i="11"/>
  <c r="F312" i="11"/>
  <c r="F304" i="11"/>
  <c r="F296" i="11"/>
  <c r="F288" i="11"/>
  <c r="F280" i="11"/>
  <c r="F272" i="11"/>
  <c r="F264" i="11"/>
  <c r="F256" i="11"/>
  <c r="F248" i="11"/>
  <c r="F240" i="11"/>
  <c r="F232" i="11"/>
  <c r="F224" i="11"/>
  <c r="F216" i="11"/>
  <c r="F203" i="11"/>
  <c r="F187" i="11"/>
  <c r="F171" i="11"/>
  <c r="F155" i="11"/>
  <c r="F139" i="11"/>
  <c r="F123" i="11"/>
  <c r="F107" i="11"/>
  <c r="F91" i="11"/>
  <c r="F75" i="11"/>
  <c r="F59" i="11"/>
  <c r="F43" i="11"/>
  <c r="F27" i="11"/>
  <c r="F11" i="11"/>
  <c r="F338" i="11"/>
  <c r="F334" i="11"/>
  <c r="F330" i="11"/>
  <c r="F326" i="11"/>
  <c r="F322" i="11"/>
  <c r="F318" i="11"/>
  <c r="F314" i="11"/>
  <c r="F310" i="11"/>
  <c r="F306" i="11"/>
  <c r="F302" i="11"/>
  <c r="F298" i="11"/>
  <c r="F294" i="11"/>
  <c r="F290" i="11"/>
  <c r="F286" i="11"/>
  <c r="F282" i="11"/>
  <c r="F278" i="11"/>
  <c r="F274" i="11"/>
  <c r="F270" i="11"/>
  <c r="F266" i="11"/>
  <c r="F262" i="11"/>
  <c r="F258" i="11"/>
  <c r="F254" i="11"/>
  <c r="F250" i="11"/>
  <c r="F246" i="11"/>
  <c r="F242" i="11"/>
  <c r="F238" i="11"/>
  <c r="F234" i="11"/>
  <c r="F230" i="11"/>
  <c r="F226" i="11"/>
  <c r="F222" i="11"/>
  <c r="F218" i="11"/>
  <c r="F214" i="11"/>
  <c r="F210" i="11"/>
  <c r="F206" i="11"/>
  <c r="F202" i="11"/>
  <c r="F198" i="11"/>
  <c r="F194" i="11"/>
  <c r="F190" i="11"/>
  <c r="F186" i="11"/>
  <c r="F182" i="11"/>
  <c r="F178" i="11"/>
  <c r="F174" i="11"/>
  <c r="F170" i="11"/>
  <c r="F166" i="11"/>
  <c r="F162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38" i="11"/>
  <c r="F34" i="11"/>
  <c r="F30" i="11"/>
  <c r="F26" i="11"/>
  <c r="F22" i="11"/>
  <c r="F18" i="11"/>
  <c r="F14" i="11"/>
  <c r="F10" i="11"/>
  <c r="F513" i="11"/>
  <c r="F509" i="11"/>
  <c r="F505" i="11"/>
  <c r="F501" i="11"/>
  <c r="F497" i="11"/>
  <c r="F493" i="11"/>
  <c r="F489" i="11"/>
  <c r="F485" i="11"/>
  <c r="F481" i="11"/>
  <c r="F477" i="11"/>
  <c r="F473" i="11"/>
  <c r="F469" i="11"/>
  <c r="F465" i="11"/>
  <c r="F461" i="11"/>
  <c r="F457" i="11"/>
  <c r="F453" i="11"/>
  <c r="F449" i="11"/>
  <c r="F445" i="11"/>
  <c r="F441" i="11"/>
  <c r="F437" i="11"/>
  <c r="F433" i="11"/>
  <c r="F429" i="11"/>
  <c r="F425" i="11"/>
  <c r="F421" i="11"/>
  <c r="F417" i="11"/>
  <c r="F413" i="11"/>
  <c r="F409" i="11"/>
  <c r="F405" i="11"/>
  <c r="F401" i="11"/>
  <c r="F397" i="11"/>
  <c r="F393" i="11"/>
  <c r="F389" i="11"/>
  <c r="F385" i="11"/>
  <c r="F381" i="11"/>
  <c r="F377" i="11"/>
  <c r="F373" i="11"/>
  <c r="F369" i="11"/>
  <c r="F365" i="11"/>
  <c r="F361" i="11"/>
  <c r="F357" i="11"/>
  <c r="F353" i="11"/>
  <c r="F349" i="11"/>
  <c r="F345" i="11"/>
  <c r="F341" i="11"/>
  <c r="F337" i="11"/>
  <c r="F333" i="11"/>
  <c r="F329" i="11"/>
  <c r="F325" i="11"/>
  <c r="F321" i="11"/>
  <c r="F317" i="11"/>
  <c r="F313" i="11"/>
  <c r="F309" i="11"/>
  <c r="F305" i="11"/>
  <c r="F301" i="11"/>
  <c r="F297" i="11"/>
  <c r="F293" i="11"/>
  <c r="F289" i="11"/>
  <c r="F285" i="11"/>
  <c r="F281" i="11"/>
  <c r="F277" i="11"/>
  <c r="F273" i="11"/>
  <c r="F269" i="11"/>
  <c r="F265" i="11"/>
  <c r="F261" i="11"/>
  <c r="F257" i="11"/>
  <c r="F253" i="11"/>
  <c r="F249" i="11"/>
  <c r="F245" i="11"/>
  <c r="F241" i="11"/>
  <c r="F237" i="11"/>
  <c r="F233" i="11"/>
  <c r="F229" i="11"/>
  <c r="F225" i="11"/>
  <c r="F221" i="11"/>
  <c r="F217" i="11"/>
  <c r="F213" i="11"/>
  <c r="F209" i="11"/>
  <c r="F205" i="11"/>
  <c r="F201" i="11"/>
  <c r="F197" i="11"/>
  <c r="F193" i="11"/>
  <c r="F189" i="11"/>
  <c r="F185" i="11"/>
  <c r="F181" i="11"/>
  <c r="F177" i="11"/>
  <c r="F173" i="11"/>
  <c r="F169" i="11"/>
  <c r="F165" i="11"/>
  <c r="F161" i="11"/>
  <c r="F157" i="11"/>
  <c r="F153" i="11"/>
  <c r="F149" i="11"/>
  <c r="F145" i="11"/>
  <c r="F141" i="11"/>
  <c r="F137" i="11"/>
  <c r="F133" i="11"/>
  <c r="F129" i="11"/>
  <c r="F125" i="11"/>
  <c r="F121" i="11"/>
  <c r="F117" i="11"/>
  <c r="F113" i="11"/>
  <c r="F109" i="11"/>
  <c r="F105" i="11"/>
  <c r="F101" i="11"/>
  <c r="F97" i="11"/>
  <c r="F93" i="11"/>
  <c r="F89" i="11"/>
  <c r="F85" i="11"/>
  <c r="F81" i="11"/>
  <c r="F77" i="11"/>
  <c r="F73" i="11"/>
  <c r="F69" i="11"/>
  <c r="F65" i="11"/>
  <c r="F61" i="11"/>
  <c r="F57" i="11"/>
  <c r="F53" i="11"/>
  <c r="F49" i="11"/>
  <c r="F45" i="11"/>
  <c r="F41" i="11"/>
  <c r="F37" i="11"/>
  <c r="F33" i="11"/>
  <c r="F29" i="11"/>
  <c r="F25" i="11"/>
  <c r="F21" i="11"/>
  <c r="F17" i="11"/>
  <c r="F13" i="11"/>
  <c r="F9" i="11"/>
  <c r="F212" i="11"/>
  <c r="F208" i="11"/>
  <c r="F204" i="11"/>
  <c r="F200" i="11"/>
  <c r="F196" i="11"/>
  <c r="F192" i="11"/>
  <c r="F188" i="11"/>
  <c r="F184" i="11"/>
  <c r="F180" i="11"/>
  <c r="F176" i="11"/>
  <c r="F172" i="11"/>
  <c r="F168" i="11"/>
  <c r="F164" i="11"/>
  <c r="F160" i="11"/>
  <c r="F156" i="11"/>
  <c r="F152" i="11"/>
  <c r="F148" i="11"/>
  <c r="F144" i="11"/>
  <c r="F140" i="11"/>
  <c r="F136" i="11"/>
  <c r="F132" i="11"/>
  <c r="F128" i="11"/>
  <c r="F124" i="11"/>
  <c r="F120" i="11"/>
  <c r="F116" i="11"/>
  <c r="F112" i="11"/>
  <c r="F108" i="11"/>
  <c r="F104" i="11"/>
  <c r="F100" i="11"/>
  <c r="F96" i="11"/>
  <c r="F92" i="11"/>
  <c r="F88" i="11"/>
  <c r="F84" i="11"/>
  <c r="F80" i="11"/>
  <c r="F76" i="11"/>
  <c r="F72" i="11"/>
  <c r="F68" i="11"/>
  <c r="F64" i="11"/>
  <c r="F60" i="11"/>
  <c r="F56" i="11"/>
  <c r="F52" i="11"/>
  <c r="F48" i="11"/>
  <c r="F44" i="11"/>
  <c r="F40" i="11"/>
  <c r="F36" i="11"/>
  <c r="F32" i="11"/>
  <c r="F28" i="11"/>
  <c r="F24" i="11"/>
  <c r="F20" i="11"/>
  <c r="F16" i="11"/>
  <c r="F12" i="11"/>
  <c r="F8" i="11"/>
  <c r="F7" i="11"/>
</calcChain>
</file>

<file path=xl/sharedStrings.xml><?xml version="1.0" encoding="utf-8"?>
<sst xmlns="http://schemas.openxmlformats.org/spreadsheetml/2006/main" count="2610" uniqueCount="1783">
  <si>
    <t>Employee Information</t>
  </si>
  <si>
    <t>First Name</t>
  </si>
  <si>
    <t>Other Name</t>
  </si>
  <si>
    <t>Surname</t>
  </si>
  <si>
    <t>Address Line 1</t>
  </si>
  <si>
    <t>Address Line 2</t>
  </si>
  <si>
    <t>Country</t>
  </si>
  <si>
    <t>State</t>
  </si>
  <si>
    <t>Phone</t>
  </si>
  <si>
    <t>Other Phone</t>
  </si>
  <si>
    <t>Gender</t>
  </si>
  <si>
    <t>Title</t>
  </si>
  <si>
    <t>Date of Birth</t>
  </si>
  <si>
    <t>Start Date</t>
  </si>
  <si>
    <t>End Date</t>
  </si>
  <si>
    <t>Job Title</t>
  </si>
  <si>
    <t>Department</t>
  </si>
  <si>
    <t>Picture</t>
  </si>
  <si>
    <t>Username</t>
  </si>
  <si>
    <t>Password</t>
  </si>
  <si>
    <t>Emergency Contact Relation</t>
  </si>
  <si>
    <t>Emergency Contact Number</t>
  </si>
  <si>
    <t>Job Titles</t>
  </si>
  <si>
    <t>Seniority</t>
  </si>
  <si>
    <t>Departments</t>
  </si>
  <si>
    <t>Department Head</t>
  </si>
  <si>
    <t>Manager</t>
  </si>
  <si>
    <t>Employee Type</t>
  </si>
  <si>
    <t>Contract Type</t>
  </si>
  <si>
    <t>Vacation Rate</t>
  </si>
  <si>
    <t>Payment Rate</t>
  </si>
  <si>
    <t>Type</t>
  </si>
  <si>
    <t>Payment Rates</t>
  </si>
  <si>
    <t>Rate</t>
  </si>
  <si>
    <t>Description</t>
  </si>
  <si>
    <t>Vacation Rates</t>
  </si>
  <si>
    <t>Leave  Type</t>
  </si>
  <si>
    <t>Payment Type</t>
  </si>
  <si>
    <t>Employee ID</t>
  </si>
  <si>
    <t>Personal Email</t>
  </si>
  <si>
    <t>Company Email</t>
  </si>
  <si>
    <t>Employee Timesheet</t>
  </si>
  <si>
    <t>Time In</t>
  </si>
  <si>
    <t>Time Out</t>
  </si>
  <si>
    <t>Date</t>
  </si>
  <si>
    <t>Salary</t>
  </si>
  <si>
    <t>None</t>
  </si>
  <si>
    <t>Permanent</t>
  </si>
  <si>
    <t>Monthly Contract</t>
  </si>
  <si>
    <t>Quarterly Contract</t>
  </si>
  <si>
    <t>Semi Annually Contract</t>
  </si>
  <si>
    <t>Yearly Contract</t>
  </si>
  <si>
    <t>Three Year Contract</t>
  </si>
  <si>
    <t>Five Year Contract</t>
  </si>
  <si>
    <t>Daily Paid</t>
  </si>
  <si>
    <t>Daily</t>
  </si>
  <si>
    <t>Weekly</t>
  </si>
  <si>
    <t>Monthly</t>
  </si>
  <si>
    <t>Fortnightly</t>
  </si>
  <si>
    <t>Sick</t>
  </si>
  <si>
    <t>Business</t>
  </si>
  <si>
    <t>Bereavement</t>
  </si>
  <si>
    <t>Study</t>
  </si>
  <si>
    <t>Parental</t>
  </si>
  <si>
    <t>Medical</t>
  </si>
  <si>
    <t>Civic Duty</t>
  </si>
  <si>
    <t>Compensatory</t>
  </si>
  <si>
    <t>Unpaid</t>
  </si>
  <si>
    <t>Environmental</t>
  </si>
  <si>
    <t>Hourly</t>
  </si>
  <si>
    <t>IT</t>
  </si>
  <si>
    <t>Luis</t>
  </si>
  <si>
    <t>Indira</t>
  </si>
  <si>
    <t>Unknown</t>
  </si>
  <si>
    <t>Purchasing</t>
  </si>
  <si>
    <t>Cameron</t>
  </si>
  <si>
    <t>Montana</t>
  </si>
  <si>
    <t>Poole</t>
  </si>
  <si>
    <t>7252 Euismod Rd.</t>
  </si>
  <si>
    <t>3071 Ligula. Ave</t>
  </si>
  <si>
    <t>Casnate con Bernate</t>
  </si>
  <si>
    <t>Morocco</t>
  </si>
  <si>
    <t>Fusce.fermentum.fermentum@sem.co.uk</t>
  </si>
  <si>
    <t>sit.amet@nascetur.org</t>
  </si>
  <si>
    <t>16371228 3138</t>
  </si>
  <si>
    <t>16371117 5533</t>
  </si>
  <si>
    <t>M</t>
  </si>
  <si>
    <t>Mr.</t>
  </si>
  <si>
    <t>26 Jul, 1972</t>
  </si>
  <si>
    <t>Payroll</t>
  </si>
  <si>
    <t>Amela Y. Woodward</t>
  </si>
  <si>
    <t>Accounting</t>
  </si>
  <si>
    <t>tellus</t>
  </si>
  <si>
    <t>ipsum</t>
  </si>
  <si>
    <t>2401CBC6-7418-9CF3-535D-E10852C40DCE</t>
  </si>
  <si>
    <t>Husband</t>
  </si>
  <si>
    <t>0880 913 0015</t>
  </si>
  <si>
    <t>Avram</t>
  </si>
  <si>
    <t>Zachary</t>
  </si>
  <si>
    <t>Webb</t>
  </si>
  <si>
    <t>8599 Vel Street</t>
  </si>
  <si>
    <t>1938 Quis Avenue</t>
  </si>
  <si>
    <t>San Fele</t>
  </si>
  <si>
    <t>Niger</t>
  </si>
  <si>
    <t>sem@Donec.edu</t>
  </si>
  <si>
    <t>orci.luctus.et@Etiamligulatortor.co.uk</t>
  </si>
  <si>
    <t>16400803 7030</t>
  </si>
  <si>
    <t>16150623 7328</t>
  </si>
  <si>
    <t>F</t>
  </si>
  <si>
    <t>Mrs.</t>
  </si>
  <si>
    <t>24 Feb, 1961</t>
  </si>
  <si>
    <t>Lilah Rocha</t>
  </si>
  <si>
    <t>Tech Support</t>
  </si>
  <si>
    <t>pellentesque</t>
  </si>
  <si>
    <t>non,</t>
  </si>
  <si>
    <t>AD9E0FC2-9A5A-01A8-B9F8-68378BC20CF6</t>
  </si>
  <si>
    <t>Mother</t>
  </si>
  <si>
    <t>0928 229 0379</t>
  </si>
  <si>
    <t>Samson</t>
  </si>
  <si>
    <t>Lael</t>
  </si>
  <si>
    <t>Pacheco</t>
  </si>
  <si>
    <t>P.O. Box 872, 2926 Quisque Road</t>
  </si>
  <si>
    <t>P.O. Box 397, 1127 Eleifend, Av.</t>
  </si>
  <si>
    <t>Mount Gambier</t>
  </si>
  <si>
    <t>Åland Islands</t>
  </si>
  <si>
    <t>urna.Nullam.lobortis@CuraeDonectincidunt.edu</t>
  </si>
  <si>
    <t>diam@imperdietullamcorperDuis.edu</t>
  </si>
  <si>
    <t>16000121 1838</t>
  </si>
  <si>
    <t>16251123 8327</t>
  </si>
  <si>
    <t>Ms.</t>
  </si>
  <si>
    <t>3 Apr, 1967</t>
  </si>
  <si>
    <t>Finances</t>
  </si>
  <si>
    <t>Jessica Hayes</t>
  </si>
  <si>
    <t>elit.</t>
  </si>
  <si>
    <t>eu,</t>
  </si>
  <si>
    <t>8F0C6D6E-8A08-01ED-AFC4-C71E11459279</t>
  </si>
  <si>
    <t>Father</t>
  </si>
  <si>
    <t>0845 46 43</t>
  </si>
  <si>
    <t>Emily</t>
  </si>
  <si>
    <t>Carl</t>
  </si>
  <si>
    <t>Hawkins</t>
  </si>
  <si>
    <t>7667 Nunc Ave</t>
  </si>
  <si>
    <t>7594 Duis Rd.</t>
  </si>
  <si>
    <t>Kenosha</t>
  </si>
  <si>
    <t>Andorra</t>
  </si>
  <si>
    <t>dignissim.tempor@mauris.ca</t>
  </si>
  <si>
    <t>dapibus.rutrum@enimmi.co.uk</t>
  </si>
  <si>
    <t>16800924 3232</t>
  </si>
  <si>
    <t>16481224 1448</t>
  </si>
  <si>
    <t>2 Sep, 1950</t>
  </si>
  <si>
    <t>Michelle B. Langley</t>
  </si>
  <si>
    <t>Customer Service</t>
  </si>
  <si>
    <t>Nunc</t>
  </si>
  <si>
    <t>Morbi</t>
  </si>
  <si>
    <t>F1D87441-4E33-D6A1-FBDC-1A92EA2D8C1C</t>
  </si>
  <si>
    <t>Sister</t>
  </si>
  <si>
    <t>070 4343 4336</t>
  </si>
  <si>
    <t>Wallace</t>
  </si>
  <si>
    <t>Edan</t>
  </si>
  <si>
    <t>Carney</t>
  </si>
  <si>
    <t>6881 Nec Avenue</t>
  </si>
  <si>
    <t>P.O. Box 452, 6242 Integer St.</t>
  </si>
  <si>
    <t>Musakhel</t>
  </si>
  <si>
    <t>Bosnia and Herzegovina</t>
  </si>
  <si>
    <t>nisi.dictum.augue@magnisdis.org</t>
  </si>
  <si>
    <t>Cras.dictum.ultricies@eget.net</t>
  </si>
  <si>
    <t>16980214 4478</t>
  </si>
  <si>
    <t>16490202 6931</t>
  </si>
  <si>
    <t>14 Jun, 1974</t>
  </si>
  <si>
    <t>Quality Assurance</t>
  </si>
  <si>
    <t>Charde Sargent</t>
  </si>
  <si>
    <t>Advertising</t>
  </si>
  <si>
    <t>Donec</t>
  </si>
  <si>
    <t>mi</t>
  </si>
  <si>
    <t>478FB2D1-F56D-5DF2-5625-9B1F6F2AED47</t>
  </si>
  <si>
    <t>Wife</t>
  </si>
  <si>
    <t>076 0378 2128</t>
  </si>
  <si>
    <t>Sawyer</t>
  </si>
  <si>
    <t>Levi</t>
  </si>
  <si>
    <t>Holmes</t>
  </si>
  <si>
    <t>573-5041 Et Street</t>
  </si>
  <si>
    <t>Ap #803-8684 Nonummy. Ave</t>
  </si>
  <si>
    <t>Machelen</t>
  </si>
  <si>
    <t>Cambodia</t>
  </si>
  <si>
    <t>turpis.Aliquam@enimnec.com</t>
  </si>
  <si>
    <t>amet.orci.Ut@convallisest.ca</t>
  </si>
  <si>
    <t>16490610 9899</t>
  </si>
  <si>
    <t>16680427 7751</t>
  </si>
  <si>
    <t>16 May, 1957</t>
  </si>
  <si>
    <t>Raja G. Sawyer</t>
  </si>
  <si>
    <t>Media Relations</t>
  </si>
  <si>
    <t>vehicula</t>
  </si>
  <si>
    <t>scelerisque</t>
  </si>
  <si>
    <t>69C69505-CFA6-28FE-640E-E594DEE474D0</t>
  </si>
  <si>
    <t>Son</t>
  </si>
  <si>
    <t>0800 486 9469</t>
  </si>
  <si>
    <t>Norman</t>
  </si>
  <si>
    <t>Cassandra</t>
  </si>
  <si>
    <t>Mason</t>
  </si>
  <si>
    <t>Ap #638-1078 Porttitor Rd.</t>
  </si>
  <si>
    <t>P.O. Box 990, 8174 Faucibus Avenue</t>
  </si>
  <si>
    <t>Aguacaliente (San Francisco)</t>
  </si>
  <si>
    <t>Spain</t>
  </si>
  <si>
    <t>luctus@sodales.com</t>
  </si>
  <si>
    <t>Curabitur.dictum.Phasellus@nascetur.org</t>
  </si>
  <si>
    <t>16571007 0698</t>
  </si>
  <si>
    <t>16310812 5000</t>
  </si>
  <si>
    <t>Dr.</t>
  </si>
  <si>
    <t>22 Oct, 1981</t>
  </si>
  <si>
    <t>Ivy Madden</t>
  </si>
  <si>
    <t>Legal Department</t>
  </si>
  <si>
    <t>felis</t>
  </si>
  <si>
    <t>eu</t>
  </si>
  <si>
    <t>10D822DE-CAD1-D8D6-C94E-4E3EB21BE0D8</t>
  </si>
  <si>
    <t>055 2759 1412</t>
  </si>
  <si>
    <t>Chase</t>
  </si>
  <si>
    <t>Jada</t>
  </si>
  <si>
    <t>Mcbride</t>
  </si>
  <si>
    <t>Ap #532-4962 Vel, Road</t>
  </si>
  <si>
    <t>187-8384 Nulla. St.</t>
  </si>
  <si>
    <t>Marentino</t>
  </si>
  <si>
    <t>Guyana</t>
  </si>
  <si>
    <t>Sed.pharetra@infelisNulla.ca</t>
  </si>
  <si>
    <t>et.magnis@sed.ca</t>
  </si>
  <si>
    <t>16530108 7689</t>
  </si>
  <si>
    <t>16850723 3560</t>
  </si>
  <si>
    <t>6 Aug, 1991</t>
  </si>
  <si>
    <t>Deacon H. Moses</t>
  </si>
  <si>
    <t>Sales and Marketing</t>
  </si>
  <si>
    <t>pede</t>
  </si>
  <si>
    <t>Pellentesque</t>
  </si>
  <si>
    <t>16331E44-ECCE-B040-E14C-56340968BCD8</t>
  </si>
  <si>
    <t>055 7662 4053</t>
  </si>
  <si>
    <t>Palmer</t>
  </si>
  <si>
    <t>Leonard</t>
  </si>
  <si>
    <t>Hodge</t>
  </si>
  <si>
    <t>201-1971 Luctus Ave</t>
  </si>
  <si>
    <t>3263 Molestie Street</t>
  </si>
  <si>
    <t>Castiglione Messer Raimondo</t>
  </si>
  <si>
    <t>Tanzania</t>
  </si>
  <si>
    <t>sit.amet.nulla@turpisIn.com</t>
  </si>
  <si>
    <t>lobortis.risus@urnajusto.net</t>
  </si>
  <si>
    <t>16110302 9029</t>
  </si>
  <si>
    <t>16921107 9075</t>
  </si>
  <si>
    <t>23 Oct, 1957</t>
  </si>
  <si>
    <t>Ryder G. Romero</t>
  </si>
  <si>
    <t>elit</t>
  </si>
  <si>
    <t>In</t>
  </si>
  <si>
    <t>ABB5F06D-DB48-FFEA-2CAD-D79766BA1B02</t>
  </si>
  <si>
    <t>(0110) 117 9865</t>
  </si>
  <si>
    <t>Georgia</t>
  </si>
  <si>
    <t>Aristotle</t>
  </si>
  <si>
    <t>Miller</t>
  </si>
  <si>
    <t>Ap #610-7760 Sed Avenue</t>
  </si>
  <si>
    <t>Ap #472-5171 Phasellus St.</t>
  </si>
  <si>
    <t>La Serena</t>
  </si>
  <si>
    <t>Indonesia</t>
  </si>
  <si>
    <t>et.magnis.dis@Donecegestas.com</t>
  </si>
  <si>
    <t>sit.amet.luctus@inmolestietortor.net</t>
  </si>
  <si>
    <t>16390204 9398</t>
  </si>
  <si>
    <t>16261116 9737</t>
  </si>
  <si>
    <t>17 Aug, 1952</t>
  </si>
  <si>
    <t>Gisela Donaldson</t>
  </si>
  <si>
    <t>Asset Management</t>
  </si>
  <si>
    <t>Nullam</t>
  </si>
  <si>
    <t>quis</t>
  </si>
  <si>
    <t>2093C9FC-8CB6-ACAD-3176-C1B461B307DD</t>
  </si>
  <si>
    <t>Daughter</t>
  </si>
  <si>
    <t>(016977) 4463</t>
  </si>
  <si>
    <t>Ulysses</t>
  </si>
  <si>
    <t>Blair</t>
  </si>
  <si>
    <t>Valenzuela</t>
  </si>
  <si>
    <t>P.O. Box 273, 7682 A, St.</t>
  </si>
  <si>
    <t>P.O. Box 186, 5041 Mollis Av.</t>
  </si>
  <si>
    <t>Hulshout</t>
  </si>
  <si>
    <t>Marshall Islands</t>
  </si>
  <si>
    <t>id.erat@Donecestmauris.ca</t>
  </si>
  <si>
    <t>eu.odio.tristique@urna.ca</t>
  </si>
  <si>
    <t>16940618 3088</t>
  </si>
  <si>
    <t>16600923 7204</t>
  </si>
  <si>
    <t>12 May, 1963</t>
  </si>
  <si>
    <t>Callum Z. Moran</t>
  </si>
  <si>
    <t>diam</t>
  </si>
  <si>
    <t>ipsum.</t>
  </si>
  <si>
    <t>490265D7-5A7E-81DC-3111-C1B1315DCC7B</t>
  </si>
  <si>
    <t>0500 601760</t>
  </si>
  <si>
    <t>Hall</t>
  </si>
  <si>
    <t>Serina</t>
  </si>
  <si>
    <t>Warner</t>
  </si>
  <si>
    <t>5044 Vel St.</t>
  </si>
  <si>
    <t>3811 Enim. Av.</t>
  </si>
  <si>
    <t>Zolder</t>
  </si>
  <si>
    <t>Korea, North</t>
  </si>
  <si>
    <t>vulputate@et.co.uk</t>
  </si>
  <si>
    <t>nunc@acarcu.com</t>
  </si>
  <si>
    <t>16581215 2741</t>
  </si>
  <si>
    <t>16910703 7468</t>
  </si>
  <si>
    <t>1 Oct, 1944</t>
  </si>
  <si>
    <t>Maisie V. Cote</t>
  </si>
  <si>
    <t>rutrum</t>
  </si>
  <si>
    <t>ut</t>
  </si>
  <si>
    <t>4DE13BAA-6854-1590-A191-5922FE13012C</t>
  </si>
  <si>
    <t>0800 547 6129</t>
  </si>
  <si>
    <t>Dustin</t>
  </si>
  <si>
    <t>Hadassah</t>
  </si>
  <si>
    <t>Aguirre</t>
  </si>
  <si>
    <t>Ap #479-1881 Diam. Street</t>
  </si>
  <si>
    <t>561-1366 Urna. Rd.</t>
  </si>
  <si>
    <t>Rves</t>
  </si>
  <si>
    <t>India</t>
  </si>
  <si>
    <t>fringilla.porttitor@arcuMorbisit.org</t>
  </si>
  <si>
    <t>libero@neceuismodin.org</t>
  </si>
  <si>
    <t>16180106 4179</t>
  </si>
  <si>
    <t>16450409 2976</t>
  </si>
  <si>
    <t>14 Mar, 1974</t>
  </si>
  <si>
    <t>Ria H. House</t>
  </si>
  <si>
    <t>tempus</t>
  </si>
  <si>
    <t>egestas</t>
  </si>
  <si>
    <t>2813EB36-64AC-9550-79A7-B59B274FC8EF</t>
  </si>
  <si>
    <t>(0112) 349 1072</t>
  </si>
  <si>
    <t>Ariana</t>
  </si>
  <si>
    <t>Macy</t>
  </si>
  <si>
    <t>Booth</t>
  </si>
  <si>
    <t>526-7257 Lectus Road</t>
  </si>
  <si>
    <t>9240 Laoreet Av.</t>
  </si>
  <si>
    <t>Protvino</t>
  </si>
  <si>
    <t>Luxembourg</t>
  </si>
  <si>
    <t>ullamcorper@velmaurisInteger.ca</t>
  </si>
  <si>
    <t>tellus@justofaucibus.ca</t>
  </si>
  <si>
    <t>16740319 8018</t>
  </si>
  <si>
    <t>16840717 7131</t>
  </si>
  <si>
    <t>9 Mar, 1989</t>
  </si>
  <si>
    <t>Keelie Frederick</t>
  </si>
  <si>
    <t>quam</t>
  </si>
  <si>
    <t>dui</t>
  </si>
  <si>
    <t>6534E692-DAF6-8105-8C46-DC79AA7C91FB</t>
  </si>
  <si>
    <t>0500 981087</t>
  </si>
  <si>
    <t>Ciaran</t>
  </si>
  <si>
    <t>Abraham</t>
  </si>
  <si>
    <t>Cummings</t>
  </si>
  <si>
    <t>Ap #143-3387 Habitant Avenue</t>
  </si>
  <si>
    <t>413-7991 Risus. Av.</t>
  </si>
  <si>
    <t>Cheyenne</t>
  </si>
  <si>
    <t>Western Sahara</t>
  </si>
  <si>
    <t>Cras.eu.tellus@Maecenas.org</t>
  </si>
  <si>
    <t>lacinia@nequeIn.com</t>
  </si>
  <si>
    <t>16420420 1646</t>
  </si>
  <si>
    <t>16300128 2536</t>
  </si>
  <si>
    <t>10 May, 1998</t>
  </si>
  <si>
    <t>Jonas W. Hansen</t>
  </si>
  <si>
    <t>Maecenas</t>
  </si>
  <si>
    <t>magna.</t>
  </si>
  <si>
    <t>64A02022-4622-7FD5-D139-C0A0EEFD2717</t>
  </si>
  <si>
    <t>0800 1111</t>
  </si>
  <si>
    <t>Justine</t>
  </si>
  <si>
    <t>Hiram</t>
  </si>
  <si>
    <t>Gilbert</t>
  </si>
  <si>
    <t>P.O. Box 234, 844 Magna. Street</t>
  </si>
  <si>
    <t>P.O. Box 718, 6621 Hendrerit Rd.</t>
  </si>
  <si>
    <t>Jinju</t>
  </si>
  <si>
    <t>Swaziland</t>
  </si>
  <si>
    <t>tincidunt.pede@Donec.ca</t>
  </si>
  <si>
    <t>a.nunc@Nulla.ca</t>
  </si>
  <si>
    <t>16710713 2669</t>
  </si>
  <si>
    <t>16520924 8896</t>
  </si>
  <si>
    <t>24 Aug, 1968</t>
  </si>
  <si>
    <t>Kalia N. Atkinson</t>
  </si>
  <si>
    <t>euismod</t>
  </si>
  <si>
    <t>EE5BD26A-BEC3-1B27-F61D-12583E7F3DE9</t>
  </si>
  <si>
    <t>0845 46 42</t>
  </si>
  <si>
    <t>Owen</t>
  </si>
  <si>
    <t>Baxter</t>
  </si>
  <si>
    <t>Mcguire</t>
  </si>
  <si>
    <t>9590 Sit St.</t>
  </si>
  <si>
    <t>Ap #653-5396 Molestie Ave</t>
  </si>
  <si>
    <t>Portland</t>
  </si>
  <si>
    <t>United States Minor Outlying Islands</t>
  </si>
  <si>
    <t>metus.Vivamus@Curae.edu</t>
  </si>
  <si>
    <t>lectus.pede.et@nec.co.uk</t>
  </si>
  <si>
    <t>16500206 5562</t>
  </si>
  <si>
    <t>16841228 4567</t>
  </si>
  <si>
    <t>31 Dec, 1969</t>
  </si>
  <si>
    <t>Constance N. Roberts</t>
  </si>
  <si>
    <t>nec</t>
  </si>
  <si>
    <t>sit</t>
  </si>
  <si>
    <t>8DE5069A-6E39-18C2-2410-A362F2BCFADA</t>
  </si>
  <si>
    <t>Brother</t>
  </si>
  <si>
    <t>076 1309 0340</t>
  </si>
  <si>
    <t>Mariam</t>
  </si>
  <si>
    <t>Mckenzie</t>
  </si>
  <si>
    <t>7125 Vivamus Av.</t>
  </si>
  <si>
    <t>Ap #687-8259 Aenean Street</t>
  </si>
  <si>
    <t>Iowa City</t>
  </si>
  <si>
    <t>Pakistan</t>
  </si>
  <si>
    <t>velit.eu@faucibusorci.com</t>
  </si>
  <si>
    <t>arcu@mipedenonummy.ca</t>
  </si>
  <si>
    <t>16690210 7629</t>
  </si>
  <si>
    <t>16810211 2524</t>
  </si>
  <si>
    <t>19 Apr, 1990</t>
  </si>
  <si>
    <t>Margaret P. Tillman</t>
  </si>
  <si>
    <t>vel</t>
  </si>
  <si>
    <t>B2574FAB-5385-0A17-8B13-71223FB4810F</t>
  </si>
  <si>
    <t>0800 560822</t>
  </si>
  <si>
    <t>Cairo</t>
  </si>
  <si>
    <t>Xenos</t>
  </si>
  <si>
    <t>Lindsay</t>
  </si>
  <si>
    <t>Ap #525-3844 Suspendisse St.</t>
  </si>
  <si>
    <t>528-6726 Maecenas Rd.</t>
  </si>
  <si>
    <t>Blehen</t>
  </si>
  <si>
    <t>Zambia</t>
  </si>
  <si>
    <t>dictum.eu@Duis.co.uk</t>
  </si>
  <si>
    <t>eget.venenatis.a@dignissimpharetra.org</t>
  </si>
  <si>
    <t>16290513 3746</t>
  </si>
  <si>
    <t>16971209 7212</t>
  </si>
  <si>
    <t>7 Dec, 1955</t>
  </si>
  <si>
    <t>Courtney X. Vincent</t>
  </si>
  <si>
    <t>Customer Relations</t>
  </si>
  <si>
    <t>faucibus</t>
  </si>
  <si>
    <t>Suspendisse</t>
  </si>
  <si>
    <t>14730D4D-5D8C-ACD0-E924-F8879FF523FD</t>
  </si>
  <si>
    <t>0500 527925</t>
  </si>
  <si>
    <t>Nevada</t>
  </si>
  <si>
    <t>Neil</t>
  </si>
  <si>
    <t>Vaughan</t>
  </si>
  <si>
    <t>452-6802 Purus. Av.</t>
  </si>
  <si>
    <t>946-2911 Quis Av.</t>
  </si>
  <si>
    <t>Rüsselsheim</t>
  </si>
  <si>
    <t>Nigeria</t>
  </si>
  <si>
    <t>Donec.est@sedpede.com</t>
  </si>
  <si>
    <t>sem@euismodestarcu.com</t>
  </si>
  <si>
    <t>16390817 7912</t>
  </si>
  <si>
    <t>16851023 3136</t>
  </si>
  <si>
    <t>19 Nov, 1960</t>
  </si>
  <si>
    <t>Research and Development</t>
  </si>
  <si>
    <t>Violet Decker</t>
  </si>
  <si>
    <t>amet</t>
  </si>
  <si>
    <t>Nulla</t>
  </si>
  <si>
    <t>15438B3B-7316-E8F0-4C19-0F5DF71B5F78</t>
  </si>
  <si>
    <t>0800 940531</t>
  </si>
  <si>
    <t>Alana</t>
  </si>
  <si>
    <t>Illana</t>
  </si>
  <si>
    <t>Joyner</t>
  </si>
  <si>
    <t>5426 Dui Rd.</t>
  </si>
  <si>
    <t>366-7569 Vivamus Rd.</t>
  </si>
  <si>
    <t>Minitonas</t>
  </si>
  <si>
    <t>Finland</t>
  </si>
  <si>
    <t>dictum.cursus@orciconsectetuer.com</t>
  </si>
  <si>
    <t>Cum.sociis@vehiculaet.edu</t>
  </si>
  <si>
    <t>16980702 3776</t>
  </si>
  <si>
    <t>16250321 5838</t>
  </si>
  <si>
    <t>25 Feb, 1968</t>
  </si>
  <si>
    <t>Xenos G. Harris</t>
  </si>
  <si>
    <t>penatibus</t>
  </si>
  <si>
    <t>Nam</t>
  </si>
  <si>
    <t>E792CA1E-31AE-8F02-4FB2-0D222FDFD1B4</t>
  </si>
  <si>
    <t>055 4971 7711</t>
  </si>
  <si>
    <t>Hedda</t>
  </si>
  <si>
    <t>Constance</t>
  </si>
  <si>
    <t>Underwood</t>
  </si>
  <si>
    <t>P.O. Box 118, 634 Quam, Rd.</t>
  </si>
  <si>
    <t>109 Elit, Road</t>
  </si>
  <si>
    <t>Linkhout</t>
  </si>
  <si>
    <t>Northern Mariana Islands</t>
  </si>
  <si>
    <t>magna.Praesent.interdum@sedsemegestas.ca</t>
  </si>
  <si>
    <t>turpis@ornareIn.edu</t>
  </si>
  <si>
    <t>16470810 8750</t>
  </si>
  <si>
    <t>16220313 5211</t>
  </si>
  <si>
    <t>17 Jun, 1968</t>
  </si>
  <si>
    <t>Human Resources</t>
  </si>
  <si>
    <t>Sonia E. Roman</t>
  </si>
  <si>
    <t>pede,</t>
  </si>
  <si>
    <t>7AAABD88-9AC5-6C3F-7FAA-79216B0CAE66</t>
  </si>
  <si>
    <t>(0112) 196 1764</t>
  </si>
  <si>
    <t>Carissa</t>
  </si>
  <si>
    <t>Coby</t>
  </si>
  <si>
    <t>Acevedo</t>
  </si>
  <si>
    <t>7540 Nisl Rd.</t>
  </si>
  <si>
    <t>Ap #235-7531 Imperdiet Rd.</t>
  </si>
  <si>
    <t>Sterling Heights</t>
  </si>
  <si>
    <t>Greenland</t>
  </si>
  <si>
    <t>non.cursus@neque.com</t>
  </si>
  <si>
    <t>molestie.pharetra.nibh@malesuada.edu</t>
  </si>
  <si>
    <t>16961019 0515</t>
  </si>
  <si>
    <t>16420327 8454</t>
  </si>
  <si>
    <t>12 Nov, 1984</t>
  </si>
  <si>
    <t>Hyacinth Fernandez</t>
  </si>
  <si>
    <t>ornare,</t>
  </si>
  <si>
    <t>3EA611AD-0BB9-8CCA-17B2-B017B6E8AFE5</t>
  </si>
  <si>
    <t>(01025) 04494</t>
  </si>
  <si>
    <t>Casey</t>
  </si>
  <si>
    <t>Denton</t>
  </si>
  <si>
    <t>Mcclure</t>
  </si>
  <si>
    <t>Ap #754-9352 Vitae Rd.</t>
  </si>
  <si>
    <t>P.O. Box 868, 1863 Elementum Street</t>
  </si>
  <si>
    <t>Bahawalnagar</t>
  </si>
  <si>
    <t>Dominican Republic</t>
  </si>
  <si>
    <t>aliquam@atsem.edu</t>
  </si>
  <si>
    <t>vel.pede.blandit@justo.ca</t>
  </si>
  <si>
    <t>16000527 0269</t>
  </si>
  <si>
    <t>16300322 2035</t>
  </si>
  <si>
    <t>9 Dec, 1954</t>
  </si>
  <si>
    <t>Ginger R. Good</t>
  </si>
  <si>
    <t>malesuada</t>
  </si>
  <si>
    <t>ante.</t>
  </si>
  <si>
    <t>70C2AF85-C826-617A-7BB4-CADF88554765</t>
  </si>
  <si>
    <t>(0151) 188 0001</t>
  </si>
  <si>
    <t>Willow</t>
  </si>
  <si>
    <t>Jayme</t>
  </si>
  <si>
    <t>Alford</t>
  </si>
  <si>
    <t>8624 Aliquet Rd.</t>
  </si>
  <si>
    <t>5881 Consequat Av.</t>
  </si>
  <si>
    <t>Clackmannan</t>
  </si>
  <si>
    <t>Sudan</t>
  </si>
  <si>
    <t>Mauris.vel.turpis@erat.edu</t>
  </si>
  <si>
    <t>est@volutpat.org</t>
  </si>
  <si>
    <t>16030728 1071</t>
  </si>
  <si>
    <t>16730306 2074</t>
  </si>
  <si>
    <t>10 Feb, 1982</t>
  </si>
  <si>
    <t>Aline Camacho</t>
  </si>
  <si>
    <t>et,</t>
  </si>
  <si>
    <t>odio.</t>
  </si>
  <si>
    <t>890DD63E-992B-58E8-9173-C70913A83CA1</t>
  </si>
  <si>
    <t>0973 251 5096</t>
  </si>
  <si>
    <t>Barry</t>
  </si>
  <si>
    <t>Cecilia</t>
  </si>
  <si>
    <t>Cotton</t>
  </si>
  <si>
    <t>413-7946 Quisque Road</t>
  </si>
  <si>
    <t>7109 Donec Avenue</t>
  </si>
  <si>
    <t>Boise</t>
  </si>
  <si>
    <t>sed.pede@Suspendissenon.co.uk</t>
  </si>
  <si>
    <t>elit.elit@sitamet.org</t>
  </si>
  <si>
    <t>16881125 5150</t>
  </si>
  <si>
    <t>16920904 2648</t>
  </si>
  <si>
    <t>15 May, 1993</t>
  </si>
  <si>
    <t>Dexter H. Pena</t>
  </si>
  <si>
    <t>ac</t>
  </si>
  <si>
    <t>67BAD1BA-047D-01FC-37BC-FD50FFB3C681</t>
  </si>
  <si>
    <t>(0116) 174 2269</t>
  </si>
  <si>
    <t>Rooney</t>
  </si>
  <si>
    <t>Brendan</t>
  </si>
  <si>
    <t>Ramsey</t>
  </si>
  <si>
    <t>P.O. Box 574, 2225 Sagittis Rd.</t>
  </si>
  <si>
    <t>Ap #699-4445 Rutrum. Rd.</t>
  </si>
  <si>
    <t>Tillet</t>
  </si>
  <si>
    <t>Nicaragua</t>
  </si>
  <si>
    <t>Vivamus@eratEtiamvestibulum.co.uk</t>
  </si>
  <si>
    <t>aliquam.eros@tempor.org</t>
  </si>
  <si>
    <t>16350418 8313</t>
  </si>
  <si>
    <t>16170230 5093</t>
  </si>
  <si>
    <t>25 Jul, 1999</t>
  </si>
  <si>
    <t>Shelley Lowery</t>
  </si>
  <si>
    <t>dictum</t>
  </si>
  <si>
    <t>turpis.</t>
  </si>
  <si>
    <t>69B4A8BC-434D-DE7B-E64B-A02F584C7FDD</t>
  </si>
  <si>
    <t>056 2116 9611</t>
  </si>
  <si>
    <t>Rafael</t>
  </si>
  <si>
    <t>Imelda</t>
  </si>
  <si>
    <t>Schultz</t>
  </si>
  <si>
    <t>P.O. Box 827, 3696 Ipsum. Ave</t>
  </si>
  <si>
    <t>P.O. Box 717, 3589 Vivamus Rd.</t>
  </si>
  <si>
    <t>Trivandrum</t>
  </si>
  <si>
    <t>Estonia</t>
  </si>
  <si>
    <t>semper@sitamet.org</t>
  </si>
  <si>
    <t>non.lorem.vitae@ipsum.net</t>
  </si>
  <si>
    <t>16230626 5873</t>
  </si>
  <si>
    <t>16031217 1168</t>
  </si>
  <si>
    <t>24 Dec, 1990</t>
  </si>
  <si>
    <t>Honorato H. Romero</t>
  </si>
  <si>
    <t>Curae;</t>
  </si>
  <si>
    <t>facilisis</t>
  </si>
  <si>
    <t>57E059C7-B893-6D3E-CF01-D7CF11583BD2</t>
  </si>
  <si>
    <t>076 2483 8517</t>
  </si>
  <si>
    <t>Ori</t>
  </si>
  <si>
    <t>Emma</t>
  </si>
  <si>
    <t>Merritt</t>
  </si>
  <si>
    <t>672-9870 Facilisis. Rd.</t>
  </si>
  <si>
    <t>762-5582 At, Av.</t>
  </si>
  <si>
    <t>Zelem</t>
  </si>
  <si>
    <t>Bhutan</t>
  </si>
  <si>
    <t>luctus@turpisnecmauris.co.uk</t>
  </si>
  <si>
    <t>Quisque.ac@Nuncullamcorpervelit.ca</t>
  </si>
  <si>
    <t>16601127 1480</t>
  </si>
  <si>
    <t>16661102 9130</t>
  </si>
  <si>
    <t>24 Nov, 1959</t>
  </si>
  <si>
    <t>Naomi G. Fox</t>
  </si>
  <si>
    <t>semper,</t>
  </si>
  <si>
    <t>7931F596-9E71-C417-F299-5CE95946CA13</t>
  </si>
  <si>
    <t>(01060) 83284</t>
  </si>
  <si>
    <t>Alea</t>
  </si>
  <si>
    <t>Emerson</t>
  </si>
  <si>
    <t>Kirkland</t>
  </si>
  <si>
    <t>5819 Dui. Rd.</t>
  </si>
  <si>
    <t>9079 Justo Av.</t>
  </si>
  <si>
    <t>Malang</t>
  </si>
  <si>
    <t>Hungary</t>
  </si>
  <si>
    <t>imperdiet@turpisAliquam.co.uk</t>
  </si>
  <si>
    <t>Donec.egestas@idrisusquis.org</t>
  </si>
  <si>
    <t>16230608 7046</t>
  </si>
  <si>
    <t>16450502 6296</t>
  </si>
  <si>
    <t>27 Jun, 2001</t>
  </si>
  <si>
    <t>Vladimir R. Hinton</t>
  </si>
  <si>
    <t>dolor,</t>
  </si>
  <si>
    <t>pharetra,</t>
  </si>
  <si>
    <t>6BF5A332-1355-5197-6703-B1BC20874DF3</t>
  </si>
  <si>
    <t>(01493) 88686</t>
  </si>
  <si>
    <t>Maisie</t>
  </si>
  <si>
    <t>Jasper</t>
  </si>
  <si>
    <t>Stout</t>
  </si>
  <si>
    <t>974-1542 Magna. Avenue</t>
  </si>
  <si>
    <t>9684 Ipsum Road</t>
  </si>
  <si>
    <t>La Estrella</t>
  </si>
  <si>
    <t>Brunei</t>
  </si>
  <si>
    <t>Cras@nisi.net</t>
  </si>
  <si>
    <t>odio.Nam.interdum@consectetuereuismod.net</t>
  </si>
  <si>
    <t>16740318 2483</t>
  </si>
  <si>
    <t>16630612 9609</t>
  </si>
  <si>
    <t>22 Oct, 1940</t>
  </si>
  <si>
    <t>Jocelyn Best</t>
  </si>
  <si>
    <t>dapibus</t>
  </si>
  <si>
    <t>lacinia</t>
  </si>
  <si>
    <t>26005530-E731-A284-78C4-EB1DF2F28F03</t>
  </si>
  <si>
    <t>(016977) 4745</t>
  </si>
  <si>
    <t>Kevyn</t>
  </si>
  <si>
    <t>Alexander</t>
  </si>
  <si>
    <t>Kirby</t>
  </si>
  <si>
    <t>5446 Netus Avenue</t>
  </si>
  <si>
    <t>949-8440 Ornare. Rd.</t>
  </si>
  <si>
    <t>Wyoming</t>
  </si>
  <si>
    <t>Svalbard and Jan Mayen Islands</t>
  </si>
  <si>
    <t>elit@nibhAliquamornare.com</t>
  </si>
  <si>
    <t>ipsum.Suspendisse.sagittis@duiFuscealiquam.com</t>
  </si>
  <si>
    <t>16971102 3995</t>
  </si>
  <si>
    <t>16830407 7129</t>
  </si>
  <si>
    <t>23 Dec, 1966</t>
  </si>
  <si>
    <t>Ronan T. Sellers</t>
  </si>
  <si>
    <t>Public Relations</t>
  </si>
  <si>
    <t>imperdiet</t>
  </si>
  <si>
    <t>65FBEC98-F298-9FDB-FAE6-1B6BA70F6BE0</t>
  </si>
  <si>
    <t>(01676) 44146</t>
  </si>
  <si>
    <t>Jaquelyn</t>
  </si>
  <si>
    <t>Martena</t>
  </si>
  <si>
    <t>Ryan</t>
  </si>
  <si>
    <t>Ap #837-3821 Diam Street</t>
  </si>
  <si>
    <t>391-1376 Neque Ave</t>
  </si>
  <si>
    <t>Windsor</t>
  </si>
  <si>
    <t>Vanuatu</t>
  </si>
  <si>
    <t>consectetuer@loremegetmollis.org</t>
  </si>
  <si>
    <t>sed.hendrerit.a@amet.org</t>
  </si>
  <si>
    <t>16680402 3981</t>
  </si>
  <si>
    <t>16780723 1910</t>
  </si>
  <si>
    <t>3 Aug, 1995</t>
  </si>
  <si>
    <t>Hillary Newton</t>
  </si>
  <si>
    <t>783455A9-744A-763F-9893-E2B52BB3714A</t>
  </si>
  <si>
    <t>(01927) 600005</t>
  </si>
  <si>
    <t>Daria</t>
  </si>
  <si>
    <t>Woods</t>
  </si>
  <si>
    <t>Ap #833-865 Accumsan Ave</t>
  </si>
  <si>
    <t>102-4398 Nec Rd.</t>
  </si>
  <si>
    <t>Cochrane</t>
  </si>
  <si>
    <t>Norfolk Island</t>
  </si>
  <si>
    <t>aliquam@malesuadafringilla.net</t>
  </si>
  <si>
    <t>vulputate@arcueu.ca</t>
  </si>
  <si>
    <t>16420707 9304</t>
  </si>
  <si>
    <t>16250213 8437</t>
  </si>
  <si>
    <t>4 Aug, 1957</t>
  </si>
  <si>
    <t>Halee Stanley</t>
  </si>
  <si>
    <t>Aliquam</t>
  </si>
  <si>
    <t>sem</t>
  </si>
  <si>
    <t>015C955D-39A4-73AF-1433-3E3201BE2B2B</t>
  </si>
  <si>
    <t>(0141) 853 9689</t>
  </si>
  <si>
    <t>Colt</t>
  </si>
  <si>
    <t>Hodges</t>
  </si>
  <si>
    <t>726 Semper Rd.</t>
  </si>
  <si>
    <t>8488 Eros. Street</t>
  </si>
  <si>
    <t>New Radnor</t>
  </si>
  <si>
    <t>Saint Barthélemy</t>
  </si>
  <si>
    <t>sem.Nulla@laciniaSedcongue.com</t>
  </si>
  <si>
    <t>augue.eu@orciluctus.com</t>
  </si>
  <si>
    <t>16990108 3429</t>
  </si>
  <si>
    <t>16910406 6726</t>
  </si>
  <si>
    <t>6 Oct, 1996</t>
  </si>
  <si>
    <t>Fay C. Talley</t>
  </si>
  <si>
    <t>Proin</t>
  </si>
  <si>
    <t>aliquet,</t>
  </si>
  <si>
    <t>8DA62752-FDD9-9E43-988B-F66531473BA6</t>
  </si>
  <si>
    <t>(015838) 20644</t>
  </si>
  <si>
    <t>Darius</t>
  </si>
  <si>
    <t>Alma</t>
  </si>
  <si>
    <t>Owens</t>
  </si>
  <si>
    <t>P.O. Box 130, 8347 Id Ave</t>
  </si>
  <si>
    <t>P.O. Box 411, 7853 Phasellus Road</t>
  </si>
  <si>
    <t>Wrexham</t>
  </si>
  <si>
    <t>cursus@at.net</t>
  </si>
  <si>
    <t>Curabitur.massa@venenatis.ca</t>
  </si>
  <si>
    <t>16860513 8539</t>
  </si>
  <si>
    <t>16280830 5235</t>
  </si>
  <si>
    <t>8 Jun, 1954</t>
  </si>
  <si>
    <t>Orlando J. Hernandez</t>
  </si>
  <si>
    <t>in,</t>
  </si>
  <si>
    <t>0B5C1E39-633C-8F38-C6BF-0C4D84F53147</t>
  </si>
  <si>
    <t>055 0164 2628</t>
  </si>
  <si>
    <t>Scott</t>
  </si>
  <si>
    <t>Hollee</t>
  </si>
  <si>
    <t>Hinton</t>
  </si>
  <si>
    <t>P.O. Box 234, 4248 Mauris Avenue</t>
  </si>
  <si>
    <t>6426 Ipsum Ave</t>
  </si>
  <si>
    <t>Mansfield</t>
  </si>
  <si>
    <t>Côte D'Ivoire (Ivory Coast)</t>
  </si>
  <si>
    <t>risus@id.edu</t>
  </si>
  <si>
    <t>Fusce.feugiat.Lorem@Quisquefringilla.co.uk</t>
  </si>
  <si>
    <t>16430914 5813</t>
  </si>
  <si>
    <t>16071113 5244</t>
  </si>
  <si>
    <t>3 Apr, 1969</t>
  </si>
  <si>
    <t>Amaya B. Turner</t>
  </si>
  <si>
    <t>1BDCB543-DEBB-78AF-5717-A4B58775E4AC</t>
  </si>
  <si>
    <t>0800 384 7516</t>
  </si>
  <si>
    <t>Aaron</t>
  </si>
  <si>
    <t>Armand</t>
  </si>
  <si>
    <t>Roberts</t>
  </si>
  <si>
    <t>8920 Integer Avenue</t>
  </si>
  <si>
    <t>8053 Ornare, Road</t>
  </si>
  <si>
    <t>Broken Arrow</t>
  </si>
  <si>
    <t>Canada</t>
  </si>
  <si>
    <t>egestas.Sed@quispede.ca</t>
  </si>
  <si>
    <t>ut.ipsum@egetvariusultrices.org</t>
  </si>
  <si>
    <t>16420928 4803</t>
  </si>
  <si>
    <t>16500617 9880</t>
  </si>
  <si>
    <t>5 May, 1974</t>
  </si>
  <si>
    <t>Blaze P. Neal</t>
  </si>
  <si>
    <t>ultrices</t>
  </si>
  <si>
    <t>fringilla.</t>
  </si>
  <si>
    <t>C0107BA2-918D-DFA7-2A8A-809AE26971C2</t>
  </si>
  <si>
    <t>(01235) 24373</t>
  </si>
  <si>
    <t>Olga</t>
  </si>
  <si>
    <t>Stanley</t>
  </si>
  <si>
    <t>P.O. Box 290, 9905 Dictum Rd.</t>
  </si>
  <si>
    <t>731-8513 Sed St.</t>
  </si>
  <si>
    <t>Glendale</t>
  </si>
  <si>
    <t>Equatorial Guinea</t>
  </si>
  <si>
    <t>vitae.semper.egestas@ante.org</t>
  </si>
  <si>
    <t>est.tempor@Aenean.ca</t>
  </si>
  <si>
    <t>16520826 7079</t>
  </si>
  <si>
    <t>16330628 2405</t>
  </si>
  <si>
    <t>18 Nov, 1946</t>
  </si>
  <si>
    <t>Cyrus J. Stanley</t>
  </si>
  <si>
    <t>eros.</t>
  </si>
  <si>
    <t>EA305130-FE98-6BE2-34A3-161020BB0CA4</t>
  </si>
  <si>
    <t>0382 090 1128</t>
  </si>
  <si>
    <t>Charde</t>
  </si>
  <si>
    <t>Yuli</t>
  </si>
  <si>
    <t>Rutledge</t>
  </si>
  <si>
    <t>P.O. Box 130, 8701 At, Road</t>
  </si>
  <si>
    <t>Ap #313-3798 Amet, Ave</t>
  </si>
  <si>
    <t>Virgin Islands, United States</t>
  </si>
  <si>
    <t>nonummy@feugiattelluslorem.ca</t>
  </si>
  <si>
    <t>magna.tellus@lectusquis.ca</t>
  </si>
  <si>
    <t>16661113 6745</t>
  </si>
  <si>
    <t>16161008 4178</t>
  </si>
  <si>
    <t>17 Jan, 1969</t>
  </si>
  <si>
    <t>Katell Y. Mcpherson</t>
  </si>
  <si>
    <t>nec,</t>
  </si>
  <si>
    <t>mauris</t>
  </si>
  <si>
    <t>F9E2D931-B083-736F-7B3A-F86EEF21043A</t>
  </si>
  <si>
    <t>(024) 0502 0165</t>
  </si>
  <si>
    <t>Acton</t>
  </si>
  <si>
    <t>Florence</t>
  </si>
  <si>
    <t>Colon</t>
  </si>
  <si>
    <t>6862 Mauris Rd.</t>
  </si>
  <si>
    <t>P.O. Box 997, 9426 Tincidunt Avenue</t>
  </si>
  <si>
    <t>Sluizen</t>
  </si>
  <si>
    <t>penatibus.et@ultriciesdignissim.edu</t>
  </si>
  <si>
    <t>Integer@adipiscing.com</t>
  </si>
  <si>
    <t>16700101 9269</t>
  </si>
  <si>
    <t>16161119 2707</t>
  </si>
  <si>
    <t>19 Jul, 1977</t>
  </si>
  <si>
    <t>Cedric J. Carson</t>
  </si>
  <si>
    <t>dignissim</t>
  </si>
  <si>
    <t>E1A60905-814E-8279-701D-400C3E07D2D8</t>
  </si>
  <si>
    <t>070 3059 1295</t>
  </si>
  <si>
    <t>Vanna</t>
  </si>
  <si>
    <t>Yasir</t>
  </si>
  <si>
    <t>Dixon</t>
  </si>
  <si>
    <t>Ap #808-4996 Ipsum Avenue</t>
  </si>
  <si>
    <t>Ap #442-2010 Metus Rd.</t>
  </si>
  <si>
    <t>Robelmont</t>
  </si>
  <si>
    <t>Belgium</t>
  </si>
  <si>
    <t>nec@diam.org</t>
  </si>
  <si>
    <t>mollis.Phasellus.libero@montesnasceturridiculus.com</t>
  </si>
  <si>
    <t>16140805 3849</t>
  </si>
  <si>
    <t>16840504 0554</t>
  </si>
  <si>
    <t>7 Apr, 1954</t>
  </si>
  <si>
    <t>Noah Q. Kirk</t>
  </si>
  <si>
    <t>sed</t>
  </si>
  <si>
    <t>85C85301-8764-2C58-6E67-A21CC53566C1</t>
  </si>
  <si>
    <t>(0119) 390 2705</t>
  </si>
  <si>
    <t>Tallulah</t>
  </si>
  <si>
    <t>Reese</t>
  </si>
  <si>
    <t>Gilmore</t>
  </si>
  <si>
    <t>2335 Libero St.</t>
  </si>
  <si>
    <t>P.O. Box 986, 1913 Suspendisse Avenue</t>
  </si>
  <si>
    <t>Multan</t>
  </si>
  <si>
    <t>ac.feugiat.non@volutpatnuncsit.org</t>
  </si>
  <si>
    <t>iaculis.lacus@cursus.co.uk</t>
  </si>
  <si>
    <t>16010811 4620</t>
  </si>
  <si>
    <t>16201203 3755</t>
  </si>
  <si>
    <t>7 Nov, 1940</t>
  </si>
  <si>
    <t>Camilla P. Beach</t>
  </si>
  <si>
    <t>leo.</t>
  </si>
  <si>
    <t>sapien.</t>
  </si>
  <si>
    <t>F25090AC-EE2F-D220-6D0C-4B49496F24B1</t>
  </si>
  <si>
    <t>0836 597 3807</t>
  </si>
  <si>
    <t>Tasha</t>
  </si>
  <si>
    <t>Shelley</t>
  </si>
  <si>
    <t>Ray</t>
  </si>
  <si>
    <t>3573 Dolor Avenue</t>
  </si>
  <si>
    <t>P.O. Box 894, 6246 Arcu Rd.</t>
  </si>
  <si>
    <t>Carson City</t>
  </si>
  <si>
    <t>ultrices@diamDuis.edu</t>
  </si>
  <si>
    <t>sit@Phasellusvitae.com</t>
  </si>
  <si>
    <t>16790213 8341</t>
  </si>
  <si>
    <t>16930821 5061</t>
  </si>
  <si>
    <t>26 Aug, 1957</t>
  </si>
  <si>
    <t>Chelsea Gillespie</t>
  </si>
  <si>
    <t>eget,</t>
  </si>
  <si>
    <t>918D6C4B-AD7D-31E9-D1FC-02401560FC92</t>
  </si>
  <si>
    <t>0800 262639</t>
  </si>
  <si>
    <t>Rhea</t>
  </si>
  <si>
    <t>Ignatius</t>
  </si>
  <si>
    <t>819 Quisque Rd.</t>
  </si>
  <si>
    <t>Ap #764-4399 Elit, St.</t>
  </si>
  <si>
    <t>Tonk</t>
  </si>
  <si>
    <t>Tajikistan</t>
  </si>
  <si>
    <t>sit.amet.ante@mienimcondimentum.ca</t>
  </si>
  <si>
    <t>justo.Proin@in.net</t>
  </si>
  <si>
    <t>16730323 5258</t>
  </si>
  <si>
    <t>16640505 6703</t>
  </si>
  <si>
    <t>29 Aug, 1966</t>
  </si>
  <si>
    <t>Harding Hopper</t>
  </si>
  <si>
    <t>nulla.</t>
  </si>
  <si>
    <t>odio,</t>
  </si>
  <si>
    <t>4FDF079A-3290-03BF-EDDE-C825449224BB</t>
  </si>
  <si>
    <t>0845 46 45</t>
  </si>
  <si>
    <t>Erich</t>
  </si>
  <si>
    <t>Callie</t>
  </si>
  <si>
    <t>Mcknight</t>
  </si>
  <si>
    <t>P.O. Box 494, 9979 Phasellus Ave</t>
  </si>
  <si>
    <t>4055 Ipsum Street</t>
  </si>
  <si>
    <t>Telford</t>
  </si>
  <si>
    <t>consectetuer.cursus@indolor.com</t>
  </si>
  <si>
    <t>pretium.neque@Cras.edu</t>
  </si>
  <si>
    <t>16100818 2444</t>
  </si>
  <si>
    <t>16890408 0077</t>
  </si>
  <si>
    <t>19 Aug, 1983</t>
  </si>
  <si>
    <t>Fulton Nixon</t>
  </si>
  <si>
    <t>a</t>
  </si>
  <si>
    <t>mus.</t>
  </si>
  <si>
    <t>6E35B247-7984-AF39-8397-B938B251593A</t>
  </si>
  <si>
    <t>(010805) 77290</t>
  </si>
  <si>
    <t>Wade</t>
  </si>
  <si>
    <t>Raymond</t>
  </si>
  <si>
    <t>Flynn</t>
  </si>
  <si>
    <t>P.O. Box 813, 8499 Etiam Avenue</t>
  </si>
  <si>
    <t>627-4014 Mi Road</t>
  </si>
  <si>
    <t>Braies/Prags</t>
  </si>
  <si>
    <t>Sweden</t>
  </si>
  <si>
    <t>sem.ut@magna.ca</t>
  </si>
  <si>
    <t>Cum.sociis@nonsollicitudin.com</t>
  </si>
  <si>
    <t>16210108 2754</t>
  </si>
  <si>
    <t>16420126 7079</t>
  </si>
  <si>
    <t>23 Dec, 1959</t>
  </si>
  <si>
    <t>Desirae Spencer</t>
  </si>
  <si>
    <t>et</t>
  </si>
  <si>
    <t>elit,</t>
  </si>
  <si>
    <t>76F43140-1EF5-1527-58FC-2AA35ED30BE4</t>
  </si>
  <si>
    <t>(029) 7845 8412</t>
  </si>
  <si>
    <t>Virginia</t>
  </si>
  <si>
    <t>Remedios</t>
  </si>
  <si>
    <t>Ellis</t>
  </si>
  <si>
    <t>757-3838 Lacus, Street</t>
  </si>
  <si>
    <t>Ap #327-8127 Aliquam St.</t>
  </si>
  <si>
    <t>Yellowhead County</t>
  </si>
  <si>
    <t>ullamcorper@pharetrafeliseget.com</t>
  </si>
  <si>
    <t>aliquet.sem@disparturientmontes.edu</t>
  </si>
  <si>
    <t>16290326 5565</t>
  </si>
  <si>
    <t>16730502 4221</t>
  </si>
  <si>
    <t>4 Apr, 2001</t>
  </si>
  <si>
    <t>Ethan V. Zimmerman</t>
  </si>
  <si>
    <t>lobortis</t>
  </si>
  <si>
    <t>B3C8BB1F-4823-309B-4F8A-BCE67612CFE6</t>
  </si>
  <si>
    <t>0975 592 2609</t>
  </si>
  <si>
    <t>Keane</t>
  </si>
  <si>
    <t>Rajah</t>
  </si>
  <si>
    <t>Bowers</t>
  </si>
  <si>
    <t>P.O. Box 379, 8057 Arcu. Ave</t>
  </si>
  <si>
    <t>2761 Praesent St.</t>
  </si>
  <si>
    <t>Grimsby</t>
  </si>
  <si>
    <t>Myanmar</t>
  </si>
  <si>
    <t>semper@liberonecligula.org</t>
  </si>
  <si>
    <t>arcu@quis.net</t>
  </si>
  <si>
    <t>16841218 6838</t>
  </si>
  <si>
    <t>16920607 2572</t>
  </si>
  <si>
    <t>16 May, 1970</t>
  </si>
  <si>
    <t>Guinevere Jensen</t>
  </si>
  <si>
    <t>Duis</t>
  </si>
  <si>
    <t>C6A66E65-4381-B32F-0111-FC1A19EB9E48</t>
  </si>
  <si>
    <t>(016913) 80593</t>
  </si>
  <si>
    <t>Signe</t>
  </si>
  <si>
    <t>Jane</t>
  </si>
  <si>
    <t>Stevens</t>
  </si>
  <si>
    <t>P.O. Box 696, 3991 Vestibulum Rd.</t>
  </si>
  <si>
    <t>P.O. Box 461, 4993 Eros Av.</t>
  </si>
  <si>
    <t>Ajaccio</t>
  </si>
  <si>
    <t>Botswana</t>
  </si>
  <si>
    <t>nisl@Duisvolutpat.ca</t>
  </si>
  <si>
    <t>tempor@scelerisque.org</t>
  </si>
  <si>
    <t>16921003 6068</t>
  </si>
  <si>
    <t>16810625 9404</t>
  </si>
  <si>
    <t>8 Oct, 1942</t>
  </si>
  <si>
    <t>Marah Z. Guzman</t>
  </si>
  <si>
    <t>FA3E5293-724F-5F0E-DDB7-A5F5BC0A1C25</t>
  </si>
  <si>
    <t>(01819) 350122</t>
  </si>
  <si>
    <t>Tad</t>
  </si>
  <si>
    <t>Kiara</t>
  </si>
  <si>
    <t>Garner</t>
  </si>
  <si>
    <t>849-194 Dolor Avenue</t>
  </si>
  <si>
    <t>Ap #485-7520 Arcu St.</t>
  </si>
  <si>
    <t>South Perth</t>
  </si>
  <si>
    <t>Burkina Faso</t>
  </si>
  <si>
    <t>netus.et.malesuada@sed.edu</t>
  </si>
  <si>
    <t>lacinia.Sed@nonummyutmolestie.org</t>
  </si>
  <si>
    <t>16850911 1152</t>
  </si>
  <si>
    <t>16070320 5708</t>
  </si>
  <si>
    <t>24 May, 1985</t>
  </si>
  <si>
    <t>Chelsea Y. Joyce</t>
  </si>
  <si>
    <t>fermentum</t>
  </si>
  <si>
    <t>sollicitudin</t>
  </si>
  <si>
    <t>B13F4924-DAC4-D1AE-15BA-F33793175576</t>
  </si>
  <si>
    <t>Regan</t>
  </si>
  <si>
    <t>Horton</t>
  </si>
  <si>
    <t>Ap #715-9155 Malesuada. Rd.</t>
  </si>
  <si>
    <t>752-7053 Arcu. Road</t>
  </si>
  <si>
    <t>Zandhoven</t>
  </si>
  <si>
    <t>Mozambique</t>
  </si>
  <si>
    <t>ut.dolor@Suspendissecommodo.org</t>
  </si>
  <si>
    <t>Vestibulum.ante.ipsum@quisarcuvel.net</t>
  </si>
  <si>
    <t>16530712 1433</t>
  </si>
  <si>
    <t>16311114 0301</t>
  </si>
  <si>
    <t>9 Sep, 1946</t>
  </si>
  <si>
    <t>Marny Russo</t>
  </si>
  <si>
    <t>dignissim.</t>
  </si>
  <si>
    <t>neque</t>
  </si>
  <si>
    <t>324F728B-5601-BA1D-D46E-0A783A28F099</t>
  </si>
  <si>
    <t>0849 668 4375</t>
  </si>
  <si>
    <t>Jameson</t>
  </si>
  <si>
    <t>Quinn</t>
  </si>
  <si>
    <t>Craft</t>
  </si>
  <si>
    <t>P.O. Box 312, 3471 Ac Street</t>
  </si>
  <si>
    <t>9881 Lorem, Rd.</t>
  </si>
  <si>
    <t>Calais</t>
  </si>
  <si>
    <t>Tokelau</t>
  </si>
  <si>
    <t>nec.diam.Duis@vitaenibh.ca</t>
  </si>
  <si>
    <t>Morbi.metus.Vivamus@porttitorscelerisque.org</t>
  </si>
  <si>
    <t>16660618 4130</t>
  </si>
  <si>
    <t>16140212 9652</t>
  </si>
  <si>
    <t>2 Oct, 1990</t>
  </si>
  <si>
    <t>Petra Hudson</t>
  </si>
  <si>
    <t>Fusce</t>
  </si>
  <si>
    <t>Sed</t>
  </si>
  <si>
    <t>95FE4C16-C905-9276-F2FD-B7B4E61CA0E1</t>
  </si>
  <si>
    <t>0886 372 4874</t>
  </si>
  <si>
    <t>Delilah</t>
  </si>
  <si>
    <t>Nolan</t>
  </si>
  <si>
    <t>Lee</t>
  </si>
  <si>
    <t>Ap #652-7490 A Avenue</t>
  </si>
  <si>
    <t>3084 Facilisis Rd.</t>
  </si>
  <si>
    <t>Ruthin</t>
  </si>
  <si>
    <t>Seychelles</t>
  </si>
  <si>
    <t>elit.erat.vitae@luctusfelis.org</t>
  </si>
  <si>
    <t>fringilla@nunc.edu</t>
  </si>
  <si>
    <t>16450706 3404</t>
  </si>
  <si>
    <t>16281010 0137</t>
  </si>
  <si>
    <t>27 Mar, 1981</t>
  </si>
  <si>
    <t>Kerry Vazquez</t>
  </si>
  <si>
    <t>bibendum</t>
  </si>
  <si>
    <t>241FF097-CCA1-B755-4AFE-0D7D5E8AFE85</t>
  </si>
  <si>
    <t>056 2552 5332</t>
  </si>
  <si>
    <t>Sylvester</t>
  </si>
  <si>
    <t>Roary</t>
  </si>
  <si>
    <t>Valdez</t>
  </si>
  <si>
    <t>3629 Phasellus Rd.</t>
  </si>
  <si>
    <t>2637 Ut Rd.</t>
  </si>
  <si>
    <t>Chandrapur</t>
  </si>
  <si>
    <t>Macao</t>
  </si>
  <si>
    <t>Aliquam.fringilla@dignissimtempor.org</t>
  </si>
  <si>
    <t>nunc.id.enim@a.edu</t>
  </si>
  <si>
    <t>16920618 9210</t>
  </si>
  <si>
    <t>16080823 6459</t>
  </si>
  <si>
    <t>18 Jun, 1985</t>
  </si>
  <si>
    <t>Scott Mcclain</t>
  </si>
  <si>
    <t>volutpat.</t>
  </si>
  <si>
    <t>Integer</t>
  </si>
  <si>
    <t>33AF4CF7-63ED-4F45-4FE8-6D07738513D4</t>
  </si>
  <si>
    <t>(01360) 257793</t>
  </si>
  <si>
    <t>Oren</t>
  </si>
  <si>
    <t>Warren</t>
  </si>
  <si>
    <t>Shannon</t>
  </si>
  <si>
    <t>Ap #672-3682 Sed Rd.</t>
  </si>
  <si>
    <t>Ap #310-5199 Vivamus Ave</t>
  </si>
  <si>
    <t>Lehri</t>
  </si>
  <si>
    <t>Italy</t>
  </si>
  <si>
    <t>scelerisque.mollis.Phasellus@augueeutempor.com</t>
  </si>
  <si>
    <t>quam.quis@Aliquamornarelibero.org</t>
  </si>
  <si>
    <t>16440603 2385</t>
  </si>
  <si>
    <t>16861209 2000</t>
  </si>
  <si>
    <t>26 May, 1983</t>
  </si>
  <si>
    <t>Denton Le</t>
  </si>
  <si>
    <t>erat.</t>
  </si>
  <si>
    <t>eleifend</t>
  </si>
  <si>
    <t>D2AA0A6D-9142-DBA6-643E-F6F56E2C4C89</t>
  </si>
  <si>
    <t>076 8172 9436</t>
  </si>
  <si>
    <t>Lance</t>
  </si>
  <si>
    <t>Murphy</t>
  </si>
  <si>
    <t>6606 Donec Avenue</t>
  </si>
  <si>
    <t>Ap #643-4793 Egestas. Avenue</t>
  </si>
  <si>
    <t>Rosenheim</t>
  </si>
  <si>
    <t>sagittis.placerat.Cras@auguescelerisquemollis.net</t>
  </si>
  <si>
    <t>Donec@imperdietdictummagna.com</t>
  </si>
  <si>
    <t>16081024 6165</t>
  </si>
  <si>
    <t>16680902 4067</t>
  </si>
  <si>
    <t>9 Jun, 1943</t>
  </si>
  <si>
    <t>Ryan W. Gutierrez</t>
  </si>
  <si>
    <t>tortor.</t>
  </si>
  <si>
    <t>B29BA3C9-72E2-3644-B4FA-26B454E6A329</t>
  </si>
  <si>
    <t>0925 930 9925</t>
  </si>
  <si>
    <t>Susan</t>
  </si>
  <si>
    <t>Decker</t>
  </si>
  <si>
    <t>9887 Convallis Rd.</t>
  </si>
  <si>
    <t>222-8314 Proin Avenue</t>
  </si>
  <si>
    <t>Opole</t>
  </si>
  <si>
    <t>Jersey</t>
  </si>
  <si>
    <t>sit@Donecat.co.uk</t>
  </si>
  <si>
    <t>Cras@auctor.net</t>
  </si>
  <si>
    <t>16291221 2574</t>
  </si>
  <si>
    <t>16320227 9893</t>
  </si>
  <si>
    <t>23 Dec, 1991</t>
  </si>
  <si>
    <t>Emmanuel K. Vasquez</t>
  </si>
  <si>
    <t>nibh</t>
  </si>
  <si>
    <t>944905F4-06AC-586F-E581-A17C93554721</t>
  </si>
  <si>
    <t>(01245) 082135</t>
  </si>
  <si>
    <t>Sharon</t>
  </si>
  <si>
    <t>Dyer</t>
  </si>
  <si>
    <t>485-2812 Lacinia Rd.</t>
  </si>
  <si>
    <t>Ap #876-4383 Lacus Av.</t>
  </si>
  <si>
    <t>Kitscoty</t>
  </si>
  <si>
    <t>Ethiopia</t>
  </si>
  <si>
    <t>malesuada.vel@liberonec.com</t>
  </si>
  <si>
    <t>Suspendisse.ac.metus@anteiaculisnec.co.uk</t>
  </si>
  <si>
    <t>16240923 2127</t>
  </si>
  <si>
    <t>16881214 0435</t>
  </si>
  <si>
    <t>2 Mar, 1965</t>
  </si>
  <si>
    <t>Caesar C. Peterson</t>
  </si>
  <si>
    <t>gravida</t>
  </si>
  <si>
    <t>13C17914-91C0-0A19-FA78-F30EC403E0C6</t>
  </si>
  <si>
    <t>Clark</t>
  </si>
  <si>
    <t>Savannah</t>
  </si>
  <si>
    <t>Odom</t>
  </si>
  <si>
    <t>P.O. Box 187, 1833 Dui, Street</t>
  </si>
  <si>
    <t>413-3370 Pellentesque St.</t>
  </si>
  <si>
    <t>Kolmont</t>
  </si>
  <si>
    <t>Guadeloupe</t>
  </si>
  <si>
    <t>Phasellus.libero.mauris@consectetueradipiscing.com</t>
  </si>
  <si>
    <t>nec.tellus@blanditviverraDonec.edu</t>
  </si>
  <si>
    <t>16600720 6771</t>
  </si>
  <si>
    <t>16400605 9010</t>
  </si>
  <si>
    <t>13 Dec, 1987</t>
  </si>
  <si>
    <t>Cailin Y. Pierce</t>
  </si>
  <si>
    <t>condimentum.</t>
  </si>
  <si>
    <t>EF9ED86C-E465-DE5C-74EC-9B893C0D8EC2</t>
  </si>
  <si>
    <t>070 5699 3619</t>
  </si>
  <si>
    <t>Bernard</t>
  </si>
  <si>
    <t>Keefe</t>
  </si>
  <si>
    <t>Bentley</t>
  </si>
  <si>
    <t>6513 Sem Avenue</t>
  </si>
  <si>
    <t>P.O. Box 537, 6114 Fermentum Street</t>
  </si>
  <si>
    <t>Puyehue</t>
  </si>
  <si>
    <t>Gabon</t>
  </si>
  <si>
    <t>et.libero@nonenim.co.uk</t>
  </si>
  <si>
    <t>vel@Nulla.com</t>
  </si>
  <si>
    <t>16380502 4506</t>
  </si>
  <si>
    <t>16821212 9400</t>
  </si>
  <si>
    <t>27 Mar, 1946</t>
  </si>
  <si>
    <t>Destiny V. Hayden</t>
  </si>
  <si>
    <t>sociis</t>
  </si>
  <si>
    <t>vestibulum</t>
  </si>
  <si>
    <t>4F83BEA1-1F8F-C9ED-FFE3-C2DE0444E6EE</t>
  </si>
  <si>
    <t>0500 622684</t>
  </si>
  <si>
    <t>Adam</t>
  </si>
  <si>
    <t>Bianca</t>
  </si>
  <si>
    <t>Snow</t>
  </si>
  <si>
    <t>374-573 Mauris Rd.</t>
  </si>
  <si>
    <t>1313 Nunc Road</t>
  </si>
  <si>
    <t>Marzi</t>
  </si>
  <si>
    <t>Switzerland</t>
  </si>
  <si>
    <t>magna@maurisutmi.net</t>
  </si>
  <si>
    <t>consectetuer.adipiscing.elit@mauris.com</t>
  </si>
  <si>
    <t>16790516 3049</t>
  </si>
  <si>
    <t>16020109 0412</t>
  </si>
  <si>
    <t>11 Jul, 1972</t>
  </si>
  <si>
    <t>Grant Levine</t>
  </si>
  <si>
    <t>arcu.</t>
  </si>
  <si>
    <t>9DDC4D95-FA22-706B-528A-5C26BDBCD961</t>
  </si>
  <si>
    <t>056 6481 6453</t>
  </si>
  <si>
    <t>Briar</t>
  </si>
  <si>
    <t>Keely</t>
  </si>
  <si>
    <t>Levine</t>
  </si>
  <si>
    <t>332-5101 Libero. Rd.</t>
  </si>
  <si>
    <t>P.O. Box 584, 9944 Molestie Road</t>
  </si>
  <si>
    <t>Trento</t>
  </si>
  <si>
    <t>United Kingdom (Great Britain)</t>
  </si>
  <si>
    <t>turpis.nec.mauris@consectetuercursuset.edu</t>
  </si>
  <si>
    <t>vestibulum.Mauris@lorem.ca</t>
  </si>
  <si>
    <t>16490528 0220</t>
  </si>
  <si>
    <t>16290828 5956</t>
  </si>
  <si>
    <t>4 Jun, 1960</t>
  </si>
  <si>
    <t>Blake Love</t>
  </si>
  <si>
    <t>elementum</t>
  </si>
  <si>
    <t>814E0A38-A33B-6A99-B01E-2003552CF1E2</t>
  </si>
  <si>
    <t>(016977) 9011</t>
  </si>
  <si>
    <t>Timothy</t>
  </si>
  <si>
    <t>Dominic</t>
  </si>
  <si>
    <t>Yates</t>
  </si>
  <si>
    <t>790-4232 Pellentesque. St.</t>
  </si>
  <si>
    <t>Ap #781-121 Nec St.</t>
  </si>
  <si>
    <t>Price</t>
  </si>
  <si>
    <t>Guatemala</t>
  </si>
  <si>
    <t>est.mauris.rhoncus@metusAeneansed.co.uk</t>
  </si>
  <si>
    <t>Cras.eu.tellus@scelerisquesedsapien.co.uk</t>
  </si>
  <si>
    <t>16590625 7729</t>
  </si>
  <si>
    <t>16910425 7911</t>
  </si>
  <si>
    <t>27 Feb, 1958</t>
  </si>
  <si>
    <t>Penelope Beasley</t>
  </si>
  <si>
    <t>lacus.</t>
  </si>
  <si>
    <t>Quisque</t>
  </si>
  <si>
    <t>5876382B-79BF-7782-23E9-67933EE03559</t>
  </si>
  <si>
    <t>(01072) 530213</t>
  </si>
  <si>
    <t>Drew</t>
  </si>
  <si>
    <t>Harding</t>
  </si>
  <si>
    <t>Mcintosh</t>
  </si>
  <si>
    <t>567-3221 Magnis Rd.</t>
  </si>
  <si>
    <t>130-8781 In Rd.</t>
  </si>
  <si>
    <t>Cognelee</t>
  </si>
  <si>
    <t>felis.orci.adipiscing@sem.edu</t>
  </si>
  <si>
    <t>Aenean.eget.magna@consequatnecmollis.org</t>
  </si>
  <si>
    <t>16220820 4392</t>
  </si>
  <si>
    <t>16080416 4176</t>
  </si>
  <si>
    <t>27 Aug, 1992</t>
  </si>
  <si>
    <t>Mia X. Wright</t>
  </si>
  <si>
    <t>dictum.</t>
  </si>
  <si>
    <t>6D4B559D-B1A7-ABA2-035D-6F5CD55E8354</t>
  </si>
  <si>
    <t>055 4962 6376</t>
  </si>
  <si>
    <t>Zoe</t>
  </si>
  <si>
    <t>Dieter</t>
  </si>
  <si>
    <t>Marquez</t>
  </si>
  <si>
    <t>Ap #477-8049 Euismod Avenue</t>
  </si>
  <si>
    <t>3119 Mauris Ave</t>
  </si>
  <si>
    <t>Mansehra</t>
  </si>
  <si>
    <t>Denmark</t>
  </si>
  <si>
    <t>imperdiet.non@nectellusNunc.com</t>
  </si>
  <si>
    <t>imperdiet.ullamcorper@vitaeorciPhasellus.edu</t>
  </si>
  <si>
    <t>16700927 4817</t>
  </si>
  <si>
    <t>16090611 4954</t>
  </si>
  <si>
    <t>3 Aug, 1992</t>
  </si>
  <si>
    <t>Colton Porter</t>
  </si>
  <si>
    <t>at</t>
  </si>
  <si>
    <t>B5A5B374-DF6A-E5DD-ECD5-8E7D6DD28489</t>
  </si>
  <si>
    <t>0357 324 0035</t>
  </si>
  <si>
    <t>Kasper</t>
  </si>
  <si>
    <t>Forrest</t>
  </si>
  <si>
    <t>Patel</t>
  </si>
  <si>
    <t>690-9444 Vitae Rd.</t>
  </si>
  <si>
    <t>Ap #114-7939 Cursus St.</t>
  </si>
  <si>
    <t>Diksmuide</t>
  </si>
  <si>
    <t>Costa Rica</t>
  </si>
  <si>
    <t>at.lacus.Quisque@orcitinciduntadipiscing.com</t>
  </si>
  <si>
    <t>mattis@bibendum.co.uk</t>
  </si>
  <si>
    <t>16590924 7727</t>
  </si>
  <si>
    <t>16760418 1524</t>
  </si>
  <si>
    <t>12 Sep, 1973</t>
  </si>
  <si>
    <t>MacKensie Goodwin</t>
  </si>
  <si>
    <t>DF484E62-E471-7883-691D-79EECBF5F627</t>
  </si>
  <si>
    <t>055 1957 7794</t>
  </si>
  <si>
    <t>Kelsey</t>
  </si>
  <si>
    <t>Jessica</t>
  </si>
  <si>
    <t>Charles</t>
  </si>
  <si>
    <t>651 Quis Rd.</t>
  </si>
  <si>
    <t>932-2161 Blandit Street</t>
  </si>
  <si>
    <t>North Las Vegas</t>
  </si>
  <si>
    <t>Turkmenistan</t>
  </si>
  <si>
    <t>mattis.semper.dui@et.co.uk</t>
  </si>
  <si>
    <t>Cras.dolor@Quisquetincidunt.net</t>
  </si>
  <si>
    <t>16270211 0285</t>
  </si>
  <si>
    <t>16700320 9611</t>
  </si>
  <si>
    <t>28 Jul, 1982</t>
  </si>
  <si>
    <t>Brady Hudson</t>
  </si>
  <si>
    <t>est</t>
  </si>
  <si>
    <t>tristique</t>
  </si>
  <si>
    <t>1FA04CEA-0B59-FF91-75F1-3CA246D6AC35</t>
  </si>
  <si>
    <t>07190 402532</t>
  </si>
  <si>
    <t>Kiayada</t>
  </si>
  <si>
    <t>Debra</t>
  </si>
  <si>
    <t>Cline</t>
  </si>
  <si>
    <t>406-693 Et, Avenue</t>
  </si>
  <si>
    <t>4896 Ultrices Road</t>
  </si>
  <si>
    <t>Marbaix</t>
  </si>
  <si>
    <t>Latvia</t>
  </si>
  <si>
    <t>magnis.dis@eratvel.edu</t>
  </si>
  <si>
    <t>penatibus.et.magnis@et.com</t>
  </si>
  <si>
    <t>16270507 7127</t>
  </si>
  <si>
    <t>16350809 2461</t>
  </si>
  <si>
    <t>30 Nov, 1974</t>
  </si>
  <si>
    <t>Ronan Griffin</t>
  </si>
  <si>
    <t>enim</t>
  </si>
  <si>
    <t>DD073AB9-39C3-369E-7820-C9990B525789</t>
  </si>
  <si>
    <t>070 7556 1667</t>
  </si>
  <si>
    <t>Iris</t>
  </si>
  <si>
    <t>Yoshio</t>
  </si>
  <si>
    <t>1116 Erat Road</t>
  </si>
  <si>
    <t>9243 Diam. Rd.</t>
  </si>
  <si>
    <t>Pudukkottai</t>
  </si>
  <si>
    <t>Turks and Caicos Islands</t>
  </si>
  <si>
    <t>dictum.augue@augueut.ca</t>
  </si>
  <si>
    <t>Morbi.vehicula@gravidaAliquamtincidunt.co.uk</t>
  </si>
  <si>
    <t>16271218 9956</t>
  </si>
  <si>
    <t>16500530 5676</t>
  </si>
  <si>
    <t>25 Mar, 1974</t>
  </si>
  <si>
    <t>Joan Y. Mckinney</t>
  </si>
  <si>
    <t>non</t>
  </si>
  <si>
    <t>33C70D45-1411-9A24-C568-F104763C5496</t>
  </si>
  <si>
    <t>0310 536 0765</t>
  </si>
  <si>
    <t>Clayton</t>
  </si>
  <si>
    <t>Gould</t>
  </si>
  <si>
    <t>Ap #876-9355 Tortor Ave</t>
  </si>
  <si>
    <t>779-6776 Dolor Rd.</t>
  </si>
  <si>
    <t>Gibbons</t>
  </si>
  <si>
    <t>non.dui@velvenenatisvel.net</t>
  </si>
  <si>
    <t>tincidunt@acurna.org</t>
  </si>
  <si>
    <t>16480710 1466</t>
  </si>
  <si>
    <t>16890212 1303</t>
  </si>
  <si>
    <t>28 Jul, 1987</t>
  </si>
  <si>
    <t>Emerald E. Peterson</t>
  </si>
  <si>
    <t>mattis</t>
  </si>
  <si>
    <t>E717C0B7-EDB0-5718-D59A-D433223B488E</t>
  </si>
  <si>
    <t>07426 527696</t>
  </si>
  <si>
    <t>Jordan</t>
  </si>
  <si>
    <t>Heather</t>
  </si>
  <si>
    <t>Kline</t>
  </si>
  <si>
    <t>336 Eu Rd.</t>
  </si>
  <si>
    <t>P.O. Box 165, 4492 Consectetuer St.</t>
  </si>
  <si>
    <t>Waarmaarde</t>
  </si>
  <si>
    <t>Niue</t>
  </si>
  <si>
    <t>semper@justosit.net</t>
  </si>
  <si>
    <t>Aliquam@consectetuer.co.uk</t>
  </si>
  <si>
    <t>16390115 0718</t>
  </si>
  <si>
    <t>16940310 9078</t>
  </si>
  <si>
    <t>6 Jun, 1982</t>
  </si>
  <si>
    <t>Darryl D. Marks</t>
  </si>
  <si>
    <t>16A52342-0DA6-0114-9139-5D4D35210C2D</t>
  </si>
  <si>
    <t>Minerva</t>
  </si>
  <si>
    <t>Woodward</t>
  </si>
  <si>
    <t>4437 Aliquam St.</t>
  </si>
  <si>
    <t>3612 Lectus St.</t>
  </si>
  <si>
    <t>Cumbernauld</t>
  </si>
  <si>
    <t>neque.venenatis@sollicitudincommodoipsum.edu</t>
  </si>
  <si>
    <t>In@aliquameros.co.uk</t>
  </si>
  <si>
    <t>16100212 0960</t>
  </si>
  <si>
    <t>16261001 1351</t>
  </si>
  <si>
    <t>5 Apr, 1989</t>
  </si>
  <si>
    <t>Ignatius Ramsey</t>
  </si>
  <si>
    <t>a,</t>
  </si>
  <si>
    <t>8F3E5F68-0B0E-6911-F1F4-742065B9C17D</t>
  </si>
  <si>
    <t>(024) 5784 2759</t>
  </si>
  <si>
    <t>Calista</t>
  </si>
  <si>
    <t>Ap #782-6292 Augue Rd.</t>
  </si>
  <si>
    <t>P.O. Box 883, 5958 Ut Avenue</t>
  </si>
  <si>
    <t>San Pedro Garza García</t>
  </si>
  <si>
    <t>Congo (Brazzaville)</t>
  </si>
  <si>
    <t>felis.ullamcorper.viverra@interdumliberodui.edu</t>
  </si>
  <si>
    <t>Curae.Phasellus@Nunc.edu</t>
  </si>
  <si>
    <t>16700122 4026</t>
  </si>
  <si>
    <t>16900301 5600</t>
  </si>
  <si>
    <t>11 Aug, 1968</t>
  </si>
  <si>
    <t>Derek J. Henderson</t>
  </si>
  <si>
    <t>egestas,</t>
  </si>
  <si>
    <t>E4F276B5-ED9C-AEA3-08C3-990C59F47291</t>
  </si>
  <si>
    <t>0800 688444</t>
  </si>
  <si>
    <t>Pascale</t>
  </si>
  <si>
    <t>Phyllis</t>
  </si>
  <si>
    <t>Goodman</t>
  </si>
  <si>
    <t>P.O. Box 346, 6184 Odio Rd.</t>
  </si>
  <si>
    <t>569-2737 Eros Rd.</t>
  </si>
  <si>
    <t>Weelde</t>
  </si>
  <si>
    <t>Saint Kitts and Nevis</t>
  </si>
  <si>
    <t>non@quis.org</t>
  </si>
  <si>
    <t>molestie@liberomaurisaliquam.com</t>
  </si>
  <si>
    <t>16790527 5892</t>
  </si>
  <si>
    <t>16590114 3262</t>
  </si>
  <si>
    <t>8 Jul, 1967</t>
  </si>
  <si>
    <t>Thane E. Shepherd</t>
  </si>
  <si>
    <t>cursus</t>
  </si>
  <si>
    <t>320ED42C-96C0-072A-2882-9D202A71E256</t>
  </si>
  <si>
    <t>070 9283 9138</t>
  </si>
  <si>
    <t>Felicia</t>
  </si>
  <si>
    <t>Head</t>
  </si>
  <si>
    <t>1811 Fermentum Av.</t>
  </si>
  <si>
    <t>P.O. Box 525, 8082 Donec St.</t>
  </si>
  <si>
    <t>Cupar</t>
  </si>
  <si>
    <t>Romania</t>
  </si>
  <si>
    <t>placerat.augue.Sed@sit.edu</t>
  </si>
  <si>
    <t>Maecenas@lobortismaurisSuspendisse.co.uk</t>
  </si>
  <si>
    <t>16110602 7574</t>
  </si>
  <si>
    <t>16770306 0439</t>
  </si>
  <si>
    <t>10 Nov, 1988</t>
  </si>
  <si>
    <t>Nehru L. Acosta</t>
  </si>
  <si>
    <t>01CB89BD-5387-DAB6-D51C-A5FDBEFAD9DA</t>
  </si>
  <si>
    <t>0500 831993</t>
  </si>
  <si>
    <t>Brandon</t>
  </si>
  <si>
    <t>Sexton</t>
  </si>
  <si>
    <t>P.O. Box 344, 439 Facilisis St.</t>
  </si>
  <si>
    <t>Ap #164-3503 Lacus. Av.</t>
  </si>
  <si>
    <t>Keumiee</t>
  </si>
  <si>
    <t>vel.vulputate@vehiculaPellentesquetincidunt.edu</t>
  </si>
  <si>
    <t>et.netus.et@quamPellentesque.co.uk</t>
  </si>
  <si>
    <t>16380220 1610</t>
  </si>
  <si>
    <t>16570718 3256</t>
  </si>
  <si>
    <t>11 Nov, 1973</t>
  </si>
  <si>
    <t>Tatum Monroe</t>
  </si>
  <si>
    <t>Mauris</t>
  </si>
  <si>
    <t>9C27F6CB-02E4-737A-2949-66D7EB67F1AD</t>
  </si>
  <si>
    <t>070 7333 8512</t>
  </si>
  <si>
    <t>Lucius</t>
  </si>
  <si>
    <t>Elijah</t>
  </si>
  <si>
    <t>Conrad</t>
  </si>
  <si>
    <t>P.O. Box 571, 6878 Nam St.</t>
  </si>
  <si>
    <t>1877 Odio Rd.</t>
  </si>
  <si>
    <t>Opoeteren</t>
  </si>
  <si>
    <t>Lithuania</t>
  </si>
  <si>
    <t>lacinia@nonummyac.edu</t>
  </si>
  <si>
    <t>purus.gravida.sagittis@mi.net</t>
  </si>
  <si>
    <t>16760820 9859</t>
  </si>
  <si>
    <t>16421113 5001</t>
  </si>
  <si>
    <t>31 Mar, 1993</t>
  </si>
  <si>
    <t>Robert Beach</t>
  </si>
  <si>
    <t>711259DA-EC21-BACA-5C9B-9C3D46110742</t>
  </si>
  <si>
    <t>07624 512242</t>
  </si>
  <si>
    <t>Linus</t>
  </si>
  <si>
    <t>Guy</t>
  </si>
  <si>
    <t>8079 Semper Av.</t>
  </si>
  <si>
    <t>P.O. Box 893, 8463 In Street</t>
  </si>
  <si>
    <t>Çarşamba</t>
  </si>
  <si>
    <t>interdum.Nunc.sollicitudin@erat.ca</t>
  </si>
  <si>
    <t>sit@mattis.edu</t>
  </si>
  <si>
    <t>16440304 7675</t>
  </si>
  <si>
    <t>16270406 9588</t>
  </si>
  <si>
    <t>26 Oct, 1961</t>
  </si>
  <si>
    <t>Jared D. Dodson</t>
  </si>
  <si>
    <t>dolor.</t>
  </si>
  <si>
    <t>orci,</t>
  </si>
  <si>
    <t>198CB134-691B-6281-FA7C-69D24BC9CB99</t>
  </si>
  <si>
    <t>0372 527 9100</t>
  </si>
  <si>
    <t>Lisandra</t>
  </si>
  <si>
    <t>Macias</t>
  </si>
  <si>
    <t>Ap #824-6903 Nec Road</t>
  </si>
  <si>
    <t>P.O. Box 850, 1711 In Av.</t>
  </si>
  <si>
    <t>Tanjung Pinang</t>
  </si>
  <si>
    <t>Guinea</t>
  </si>
  <si>
    <t>vitae@inhendreritconsectetuer.com</t>
  </si>
  <si>
    <t>sit.amet.massa@tristique.net</t>
  </si>
  <si>
    <t>16970304 2748</t>
  </si>
  <si>
    <t>16620704 7546</t>
  </si>
  <si>
    <t>31 Mar, 1990</t>
  </si>
  <si>
    <t>Gage U. Cole</t>
  </si>
  <si>
    <t>4965CE35-FB0E-CAD6-965C-CA1D3F316F14</t>
  </si>
  <si>
    <t>0858 071 8018</t>
  </si>
  <si>
    <t>Kitra</t>
  </si>
  <si>
    <t>Kim</t>
  </si>
  <si>
    <t>2857 Sed Rd.</t>
  </si>
  <si>
    <t>6367 Donec Rd.</t>
  </si>
  <si>
    <t>Dunedin</t>
  </si>
  <si>
    <t>gravida.nunc.sed@fringillaeuismod.org</t>
  </si>
  <si>
    <t>gravida.mauris@ipsumcursus.edu</t>
  </si>
  <si>
    <t>16731124 9317</t>
  </si>
  <si>
    <t>16370321 9539</t>
  </si>
  <si>
    <t>6 Feb, 1944</t>
  </si>
  <si>
    <t>Ivan T. Galloway</t>
  </si>
  <si>
    <t>777CEA05-66A6-FF09-616C-68DA19996A6E</t>
  </si>
  <si>
    <t>0800 599 5773</t>
  </si>
  <si>
    <t>Adena</t>
  </si>
  <si>
    <t>Cameran</t>
  </si>
  <si>
    <t>Jacobson</t>
  </si>
  <si>
    <t>Ap #376-9865 Lectus Avenue</t>
  </si>
  <si>
    <t>2635 Aliquet St.</t>
  </si>
  <si>
    <t>Lourdes</t>
  </si>
  <si>
    <t>Timor-Leste</t>
  </si>
  <si>
    <t>tortor.Nunc@sedpede.co.uk</t>
  </si>
  <si>
    <t>Nam.ligula.elit@Donec.net</t>
  </si>
  <si>
    <t>16200505 7399</t>
  </si>
  <si>
    <t>16061109 6249</t>
  </si>
  <si>
    <t>14 Feb, 1951</t>
  </si>
  <si>
    <t>Renee D. Gallagher</t>
  </si>
  <si>
    <t>netus</t>
  </si>
  <si>
    <t>0CFE7B82-F3DB-836F-EA42-723E28997039</t>
  </si>
  <si>
    <t>076 5777 1417</t>
  </si>
  <si>
    <t>Eric</t>
  </si>
  <si>
    <t>Lambert</t>
  </si>
  <si>
    <t>Ap #891-5029 Libero Street</t>
  </si>
  <si>
    <t>Ap #766-7003 At, Ave</t>
  </si>
  <si>
    <t>Burin</t>
  </si>
  <si>
    <t>Taiwan</t>
  </si>
  <si>
    <t>nisl@maurisanunc.ca</t>
  </si>
  <si>
    <t>eleifend.nec@lorem.ca</t>
  </si>
  <si>
    <t>16520211 2073</t>
  </si>
  <si>
    <t>16340217 4852</t>
  </si>
  <si>
    <t>12 Jan, 1996</t>
  </si>
  <si>
    <t>Aretha G. Mercado</t>
  </si>
  <si>
    <t>tempor</t>
  </si>
  <si>
    <t>259B542E-FAE4-6AFC-86D8-5C77E6DB8DFB</t>
  </si>
  <si>
    <t>(0115) 199 5702</t>
  </si>
  <si>
    <t>Vera</t>
  </si>
  <si>
    <t>Todd</t>
  </si>
  <si>
    <t>Moses</t>
  </si>
  <si>
    <t>P.O. Box 328, 7714 Velit. Ave</t>
  </si>
  <si>
    <t>4250 At Rd.</t>
  </si>
  <si>
    <t>Moncton</t>
  </si>
  <si>
    <t>urna.Nunc@semper.edu</t>
  </si>
  <si>
    <t>tortor.Nunc@uteros.com</t>
  </si>
  <si>
    <t>16791219 1025</t>
  </si>
  <si>
    <t>16830326 6244</t>
  </si>
  <si>
    <t>26 Aug, 1988</t>
  </si>
  <si>
    <t>Ciara Leon</t>
  </si>
  <si>
    <t>ligula</t>
  </si>
  <si>
    <t>54E94F22-5566-7653-4DFB-6FFDADB4B53D</t>
  </si>
  <si>
    <t>0845 46 41</t>
  </si>
  <si>
    <t>Brynn</t>
  </si>
  <si>
    <t>Scarlet</t>
  </si>
  <si>
    <t>King</t>
  </si>
  <si>
    <t>Ap #223-8489 Ipsum St.</t>
  </si>
  <si>
    <t>615-7983 Elit. Street</t>
  </si>
  <si>
    <t>Chichester</t>
  </si>
  <si>
    <t>lorem@magnaatortor.net</t>
  </si>
  <si>
    <t>odio@magnanec.ca</t>
  </si>
  <si>
    <t>16650921 0289</t>
  </si>
  <si>
    <t>16720526 5510</t>
  </si>
  <si>
    <t>21 Jan, 1964</t>
  </si>
  <si>
    <t>Driscoll Q. Willis</t>
  </si>
  <si>
    <t>ligula.</t>
  </si>
  <si>
    <t>venenatis</t>
  </si>
  <si>
    <t>3B734EC3-8AAB-E06C-EB83-EFD9CF3BB42E</t>
  </si>
  <si>
    <t>0851 029 5772</t>
  </si>
  <si>
    <t>Ifeoma</t>
  </si>
  <si>
    <t>Zephania</t>
  </si>
  <si>
    <t>Wolfe</t>
  </si>
  <si>
    <t>1754 Metus St.</t>
  </si>
  <si>
    <t>Ap #312-3363 Molestie Av.</t>
  </si>
  <si>
    <t>Sacheon</t>
  </si>
  <si>
    <t>Mexico</t>
  </si>
  <si>
    <t>felis.ullamcorper@enimCurabiturmassa.net</t>
  </si>
  <si>
    <t>facilisis.vitae@lobortisultrices.edu</t>
  </si>
  <si>
    <t>16221002 8649</t>
  </si>
  <si>
    <t>16861014 4258</t>
  </si>
  <si>
    <t>15 Nov, 1945</t>
  </si>
  <si>
    <t>Ann Levy</t>
  </si>
  <si>
    <t>arcu</t>
  </si>
  <si>
    <t>04920A7D-34C3-AC52-2BBC-E5D0391237FC</t>
  </si>
  <si>
    <t>Nathan</t>
  </si>
  <si>
    <t>Pamela</t>
  </si>
  <si>
    <t>Cochran</t>
  </si>
  <si>
    <t>Ap #368-4818 Eros. Avenue</t>
  </si>
  <si>
    <t>4345 Euismod Street</t>
  </si>
  <si>
    <t>Clarksville</t>
  </si>
  <si>
    <t>South Georgia and The South Sandwich Islands</t>
  </si>
  <si>
    <t>arcu.Aliquam@elitpellentesquea.com</t>
  </si>
  <si>
    <t>egestas.a@necenimNunc.net</t>
  </si>
  <si>
    <t>16171121 7719</t>
  </si>
  <si>
    <t>16060217 8014</t>
  </si>
  <si>
    <t>2 Sep, 1993</t>
  </si>
  <si>
    <t>Yael I. Thomas</t>
  </si>
  <si>
    <t>in</t>
  </si>
  <si>
    <t>magna</t>
  </si>
  <si>
    <t>151D2E20-0CDE-B188-092F-E6CCA8006E84</t>
  </si>
  <si>
    <t>(01002) 117709</t>
  </si>
  <si>
    <t>Fay</t>
  </si>
  <si>
    <t>Madden</t>
  </si>
  <si>
    <t>4755 Ac Rd.</t>
  </si>
  <si>
    <t>P.O. Box 554, 6092 Aliquam, St.</t>
  </si>
  <si>
    <t>Saharanpur</t>
  </si>
  <si>
    <t>Serbia</t>
  </si>
  <si>
    <t>mattis.Cras@vulputaterisusa.edu</t>
  </si>
  <si>
    <t>non@nonarcu.net</t>
  </si>
  <si>
    <t>16840128 5682</t>
  </si>
  <si>
    <t>16410120 5427</t>
  </si>
  <si>
    <t>23 Jun, 1955</t>
  </si>
  <si>
    <t>Robin Charles</t>
  </si>
  <si>
    <t>Etiam</t>
  </si>
  <si>
    <t>hendrerit.</t>
  </si>
  <si>
    <t>0CC5BC4D-E28E-A55C-506E-34B781CCCB28</t>
  </si>
  <si>
    <t>0500 306761</t>
  </si>
  <si>
    <t>Chantale</t>
  </si>
  <si>
    <t>Rhonda</t>
  </si>
  <si>
    <t>Barr</t>
  </si>
  <si>
    <t>651-9050 Mi, Avenue</t>
  </si>
  <si>
    <t>903-6534 Duis Rd.</t>
  </si>
  <si>
    <t>Knokke-Heist</t>
  </si>
  <si>
    <t>Malaysia</t>
  </si>
  <si>
    <t>lorem.fringilla@ligulatortor.co.uk</t>
  </si>
  <si>
    <t>Aliquam.erat.volutpat@iaculis.edu</t>
  </si>
  <si>
    <t>16231119 1536</t>
  </si>
  <si>
    <t>16360924 1215</t>
  </si>
  <si>
    <t>18 Mar, 1990</t>
  </si>
  <si>
    <t>Breanna P. Herring</t>
  </si>
  <si>
    <t>nunc</t>
  </si>
  <si>
    <t>97EB4BE8-4BA5-C5B4-F366-5B3D25C45A39</t>
  </si>
  <si>
    <t>(0181) 588 4323</t>
  </si>
  <si>
    <t>Karen</t>
  </si>
  <si>
    <t>Rahim</t>
  </si>
  <si>
    <t>Hardy</t>
  </si>
  <si>
    <t>9313 Vitae St.</t>
  </si>
  <si>
    <t>Ap #676-5947 Fusce St.</t>
  </si>
  <si>
    <t>Independencia</t>
  </si>
  <si>
    <t>Qatar</t>
  </si>
  <si>
    <t>Donec@leoelementumsem.org</t>
  </si>
  <si>
    <t>magnis@Donectempuslorem.ca</t>
  </si>
  <si>
    <t>16201028 3543</t>
  </si>
  <si>
    <t>16800819 6597</t>
  </si>
  <si>
    <t>19 Apr, 1997</t>
  </si>
  <si>
    <t>Chelsea Huffman</t>
  </si>
  <si>
    <t>massa.</t>
  </si>
  <si>
    <t>aliquet.</t>
  </si>
  <si>
    <t>1FD2715F-9978-4C27-E5B3-16C8CFFAD89C</t>
  </si>
  <si>
    <t>055 8010 1660</t>
  </si>
  <si>
    <t>Alvin</t>
  </si>
  <si>
    <t>Shelton</t>
  </si>
  <si>
    <t>663-1121 Nec Av.</t>
  </si>
  <si>
    <t>913-7860 Egestas. St.</t>
  </si>
  <si>
    <t>Sechura</t>
  </si>
  <si>
    <t>Gibraltar</t>
  </si>
  <si>
    <t>feugiat.non.lobortis@convallisligula.edu</t>
  </si>
  <si>
    <t>dictum.eu@tinciduntcongueturpis.com</t>
  </si>
  <si>
    <t>16841120 0010</t>
  </si>
  <si>
    <t>16340726 1977</t>
  </si>
  <si>
    <t>30 Jan, 1951</t>
  </si>
  <si>
    <t>Raven Stein</t>
  </si>
  <si>
    <t>2026FB3E-ADD2-45CD-677D-E99C0D48E684</t>
  </si>
  <si>
    <t>(021) 1770 0457</t>
  </si>
  <si>
    <t>Honorato</t>
  </si>
  <si>
    <t>Camacho</t>
  </si>
  <si>
    <t>6085 Dolor, Rd.</t>
  </si>
  <si>
    <t>Ap #365-9952 Interdum. Street</t>
  </si>
  <si>
    <t>İzmit</t>
  </si>
  <si>
    <t>Albania</t>
  </si>
  <si>
    <t>libero@dui.edu</t>
  </si>
  <si>
    <t>Curae.Phasellus.ornare@ut.co.uk</t>
  </si>
  <si>
    <t>16910815 0054</t>
  </si>
  <si>
    <t>16010713 0023</t>
  </si>
  <si>
    <t>7 Dec, 1958</t>
  </si>
  <si>
    <t>Daquan W. Carver</t>
  </si>
  <si>
    <t>B5402548-CECC-F133-0EA9-1B490FCFB6F3</t>
  </si>
  <si>
    <t>(0131) 525 7035</t>
  </si>
  <si>
    <t>Leslie</t>
  </si>
  <si>
    <t>Shaine</t>
  </si>
  <si>
    <t>Rhodes</t>
  </si>
  <si>
    <t>574-3435 Molestie St.</t>
  </si>
  <si>
    <t>Ap #562-1353 Etiam Ave</t>
  </si>
  <si>
    <t>Cuernavaca</t>
  </si>
  <si>
    <t>augue@ac.ca</t>
  </si>
  <si>
    <t>semper@molestieSedid.co.uk</t>
  </si>
  <si>
    <t>16711009 2652</t>
  </si>
  <si>
    <t>16710508 8780</t>
  </si>
  <si>
    <t>22 Jun, 1941</t>
  </si>
  <si>
    <t>Chaim M. Rodriguez</t>
  </si>
  <si>
    <t>2533133F-1FA8-7D5A-65F6-039DBF498EED</t>
  </si>
  <si>
    <t>0800 713115</t>
  </si>
  <si>
    <t>Troy</t>
  </si>
  <si>
    <t>Joelle</t>
  </si>
  <si>
    <t>Marks</t>
  </si>
  <si>
    <t>825-9563 Penatibus Street</t>
  </si>
  <si>
    <t>906 Justo. Rd.</t>
  </si>
  <si>
    <t>Hamilton</t>
  </si>
  <si>
    <t>Maldives</t>
  </si>
  <si>
    <t>Mauris.eu.turpis@augueutlacus.edu</t>
  </si>
  <si>
    <t>et@pede.ca</t>
  </si>
  <si>
    <t>16190107 6263</t>
  </si>
  <si>
    <t>16270825 0572</t>
  </si>
  <si>
    <t>7 Jul, 1959</t>
  </si>
  <si>
    <t>Cecilia Moore</t>
  </si>
  <si>
    <t>3DB377FD-3F6E-1E05-6677-6A5FF73C3B48</t>
  </si>
  <si>
    <t>(016977) 0986</t>
  </si>
  <si>
    <t>Nita</t>
  </si>
  <si>
    <t>Cole</t>
  </si>
  <si>
    <t>Whitney</t>
  </si>
  <si>
    <t>P.O. Box 931, 2123 Et, Rd.</t>
  </si>
  <si>
    <t>376-3333 Nullam Rd.</t>
  </si>
  <si>
    <t>Cirencester</t>
  </si>
  <si>
    <t>Montserrat</t>
  </si>
  <si>
    <t>Donec.nibh.enim@Curabitur.ca</t>
  </si>
  <si>
    <t>nec.cursus.a@ipsumdolor.net</t>
  </si>
  <si>
    <t>16660828 3484</t>
  </si>
  <si>
    <t>16050317 3676</t>
  </si>
  <si>
    <t>19 Jan, 1980</t>
  </si>
  <si>
    <t>Tashya E. Langley</t>
  </si>
  <si>
    <t>FA023065-93C4-B66F-F5B7-DDA115301061</t>
  </si>
  <si>
    <t>055 2762 2436</t>
  </si>
  <si>
    <t>Nayda</t>
  </si>
  <si>
    <t>Moana</t>
  </si>
  <si>
    <t>Klein</t>
  </si>
  <si>
    <t>Ap #975-1605 Sagittis Rd.</t>
  </si>
  <si>
    <t>304-5395 Sed Rd.</t>
  </si>
  <si>
    <t>Scarborough</t>
  </si>
  <si>
    <t>Aruba</t>
  </si>
  <si>
    <t>Etiam.gravida.molestie@mollisIntegertincidunt.org</t>
  </si>
  <si>
    <t>imperdiet.ullamcorper.Duis@rutrum.net</t>
  </si>
  <si>
    <t>16370428 6875</t>
  </si>
  <si>
    <t>16600502 0950</t>
  </si>
  <si>
    <t>18 Aug, 1976</t>
  </si>
  <si>
    <t>Rajah X. Fleming</t>
  </si>
  <si>
    <t>EED8C8D3-D6D4-E13A-7A0C-A25BB03154A5</t>
  </si>
  <si>
    <t>076 6703 5997</t>
  </si>
  <si>
    <t>Madison</t>
  </si>
  <si>
    <t>Amal</t>
  </si>
  <si>
    <t>Larson</t>
  </si>
  <si>
    <t>P.O. Box 590, 8973 Feugiat Road</t>
  </si>
  <si>
    <t>7518 Maecenas Road</t>
  </si>
  <si>
    <t>Bucheon</t>
  </si>
  <si>
    <t>San Marino</t>
  </si>
  <si>
    <t>vestibulum@diamloremauctor.edu</t>
  </si>
  <si>
    <t>nunc@sed.ca</t>
  </si>
  <si>
    <t>16880615 0002</t>
  </si>
  <si>
    <t>16790530 5053</t>
  </si>
  <si>
    <t>2 Aug, 1991</t>
  </si>
  <si>
    <t>Seth Watts</t>
  </si>
  <si>
    <t>6EB40A21-A9E4-DFC8-BF08-65D1247EFC07</t>
  </si>
  <si>
    <t>(0115) 158 3695</t>
  </si>
  <si>
    <t>Halla</t>
  </si>
  <si>
    <t>Slater</t>
  </si>
  <si>
    <t>P.O. Box 139, 7863 Neque. Road</t>
  </si>
  <si>
    <t>Ap #924-1029 Commodo Av.</t>
  </si>
  <si>
    <t>Cassano Spinola</t>
  </si>
  <si>
    <t>Grenada</t>
  </si>
  <si>
    <t>Curabitur.egestas@anteNuncmauris.org</t>
  </si>
  <si>
    <t>elit@est.co.uk</t>
  </si>
  <si>
    <t>16660922 4321</t>
  </si>
  <si>
    <t>16130618 4381</t>
  </si>
  <si>
    <t>8 Sep, 1974</t>
  </si>
  <si>
    <t>Ima S. Mccullough</t>
  </si>
  <si>
    <t>fringilla,</t>
  </si>
  <si>
    <t>5ECF26FA-0FA6-48EB-A81B-AAC28A9D96B8</t>
  </si>
  <si>
    <t>0375 054 0194</t>
  </si>
  <si>
    <t>Aladdin</t>
  </si>
  <si>
    <t>Adrienne</t>
  </si>
  <si>
    <t>232-1196 Aliquam Rd.</t>
  </si>
  <si>
    <t>P.O. Box 164, 4907 Nibh. Street</t>
  </si>
  <si>
    <t>Schwedt</t>
  </si>
  <si>
    <t>Samoa</t>
  </si>
  <si>
    <t>Curabitur.sed.tortor@Vivamus.ca</t>
  </si>
  <si>
    <t>Sed.id@Aliquamornarelibero.co.uk</t>
  </si>
  <si>
    <t>16730706 6451</t>
  </si>
  <si>
    <t>16220729 1333</t>
  </si>
  <si>
    <t>25 Nov, 1975</t>
  </si>
  <si>
    <t>Frances Goodman</t>
  </si>
  <si>
    <t>Phasellus</t>
  </si>
  <si>
    <t>lacinia.</t>
  </si>
  <si>
    <t>9AF772FF-A4EF-A117-09FD-84C154363900</t>
  </si>
  <si>
    <t>070 6761 4929</t>
  </si>
  <si>
    <t>617-1624 Nulla Av.</t>
  </si>
  <si>
    <t>Ap #577-6805 Aenean Road</t>
  </si>
  <si>
    <t>Werder</t>
  </si>
  <si>
    <t>El Salvador</t>
  </si>
  <si>
    <t>fermentum.convallis.ligula@ornare.edu</t>
  </si>
  <si>
    <t>lacus@morbitristiquesenectus.org</t>
  </si>
  <si>
    <t>16530204 1065</t>
  </si>
  <si>
    <t>16220124 0617</t>
  </si>
  <si>
    <t>22 Jan, 1978</t>
  </si>
  <si>
    <t>Thomas Mccarty</t>
  </si>
  <si>
    <t>mollis.</t>
  </si>
  <si>
    <t>68C8CA8E-A5A1-04C8-3ECC-1CC00E902683</t>
  </si>
  <si>
    <t>0500 498971</t>
  </si>
  <si>
    <t>Finance</t>
  </si>
  <si>
    <t>Structural Engineer</t>
  </si>
  <si>
    <t>Web Designer III</t>
  </si>
  <si>
    <t>Human Resources Assistant II</t>
  </si>
  <si>
    <t>Developer III</t>
  </si>
  <si>
    <t>Mechanical Systems Engineer</t>
  </si>
  <si>
    <t>Marketing Manager</t>
  </si>
  <si>
    <t>Recruiter</t>
  </si>
  <si>
    <t>Account Executive</t>
  </si>
  <si>
    <t>Programmer IV</t>
  </si>
  <si>
    <t>Quality Control Specialist</t>
  </si>
  <si>
    <t>Administrative Officer</t>
  </si>
  <si>
    <t>Software Consultant</t>
  </si>
  <si>
    <t>Cost Accountant</t>
  </si>
  <si>
    <t>Developer II</t>
  </si>
  <si>
    <t>Electrical Engineer</t>
  </si>
  <si>
    <t>Sales Associate</t>
  </si>
  <si>
    <t>Occupational Therapist</t>
  </si>
  <si>
    <t>Quality Engineer</t>
  </si>
  <si>
    <t>Business Systems Development Analyst</t>
  </si>
  <si>
    <t>Director of Sales</t>
  </si>
  <si>
    <t>VP Quality Control</t>
  </si>
  <si>
    <t>Environmental Specialist</t>
  </si>
  <si>
    <t>Recruiting Manager</t>
  </si>
  <si>
    <t>Civil Engineer</t>
  </si>
  <si>
    <t>Executive Secretary</t>
  </si>
  <si>
    <t>Structural Analysis Engineer</t>
  </si>
  <si>
    <t>Software Engineer I</t>
  </si>
  <si>
    <t>Research Assistant II</t>
  </si>
  <si>
    <t>Web Developer III</t>
  </si>
  <si>
    <t>Social Worker</t>
  </si>
  <si>
    <t>General Manager</t>
  </si>
  <si>
    <t>Help Desk Technician</t>
  </si>
  <si>
    <t>Human Resources Manager</t>
  </si>
  <si>
    <t>Administrative Assistant III</t>
  </si>
  <si>
    <t>Assistant Manager</t>
  </si>
  <si>
    <t>Statistician IV</t>
  </si>
  <si>
    <t>Project Manager</t>
  </si>
  <si>
    <t>Product Engineer</t>
  </si>
  <si>
    <t>GIS Technical Architect</t>
  </si>
  <si>
    <t>Safety Technician III</t>
  </si>
  <si>
    <t>Assistant Media Planner</t>
  </si>
  <si>
    <t>Research Assistant III</t>
  </si>
  <si>
    <t>Operator</t>
  </si>
  <si>
    <t>Editor</t>
  </si>
  <si>
    <t>Tax Accountant</t>
  </si>
  <si>
    <t>Senior Cost Accountant</t>
  </si>
  <si>
    <t>Community Outreach Specialist</t>
  </si>
  <si>
    <t>Office Assistant III</t>
  </si>
  <si>
    <t>Legal Assistant</t>
  </si>
  <si>
    <t>Paralegal</t>
  </si>
  <si>
    <t>Internal Auditor</t>
  </si>
  <si>
    <t>Chief Design Engineer</t>
  </si>
  <si>
    <t>Programmer I</t>
  </si>
  <si>
    <t>Senior Financial Analyst</t>
  </si>
  <si>
    <t>Information Systems Manager</t>
  </si>
  <si>
    <t>Environmental Tech</t>
  </si>
  <si>
    <t>Administrative Assistant II</t>
  </si>
  <si>
    <t>Librarian</t>
  </si>
  <si>
    <t>Statistician I</t>
  </si>
  <si>
    <t>Speech Pathologist</t>
  </si>
  <si>
    <t>Staff Accountant IV</t>
  </si>
  <si>
    <t>Programmer Analyst II</t>
  </si>
  <si>
    <t>VP Sales</t>
  </si>
  <si>
    <t>Account Coordinator</t>
  </si>
  <si>
    <t>Desktop Support Technician</t>
  </si>
  <si>
    <t>Media Manager I</t>
  </si>
  <si>
    <t>Engineer III</t>
  </si>
  <si>
    <t>Compensation Analyst</t>
  </si>
  <si>
    <t>Office Assistant II</t>
  </si>
  <si>
    <t>Graphic Designer</t>
  </si>
  <si>
    <t>Mid Level</t>
  </si>
  <si>
    <t>Junior</t>
  </si>
  <si>
    <t>Senior</t>
  </si>
  <si>
    <t>Employee Vacation</t>
  </si>
  <si>
    <t>Total Vacation</t>
  </si>
  <si>
    <t>Vacation Used</t>
  </si>
  <si>
    <t>Vacation Remaining</t>
  </si>
  <si>
    <t>Vacation Start</t>
  </si>
  <si>
    <t>Vacation End</t>
  </si>
  <si>
    <t>Lunch In</t>
  </si>
  <si>
    <t>Lunch Out</t>
  </si>
  <si>
    <t>Years of Service</t>
  </si>
  <si>
    <t>Less than three (3) years service and contract is less than a six months</t>
  </si>
  <si>
    <t>Less than three (3) years service and contract is less than three (3) years</t>
  </si>
  <si>
    <t>More than three (3) years service or contract is three (3) years</t>
  </si>
  <si>
    <t>More than five (5) years service or contract is five (5) years</t>
  </si>
  <si>
    <t>More than ten (10) years service</t>
  </si>
  <si>
    <t>More than twelve (12) years service</t>
  </si>
  <si>
    <t>More than fifteen (15) years service</t>
  </si>
  <si>
    <t>Regular Time</t>
  </si>
  <si>
    <t>Overtime</t>
  </si>
  <si>
    <t>Holiday</t>
  </si>
  <si>
    <t>Holiday Overtime</t>
  </si>
  <si>
    <t>Hazard Rate</t>
  </si>
  <si>
    <t>Total Time</t>
  </si>
  <si>
    <t>Minutes Late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</si>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</sst>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9]dd\ mmmm\ yyyy;@"/>
    <numFmt numFmtId="165" formatCode="mm:ss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1" fillId="0" borderId="0" xfId="1"/>
    <xf numFmtId="14" fontId="0" fillId="0" borderId="0" xfId="0" applyNumberFormat="1"/>
    <xf numFmtId="164" fontId="0" fillId="0" borderId="0" xfId="0" applyNumberFormat="1"/>
    <xf numFmtId="18" fontId="0" fillId="0" borderId="0" xfId="0" applyNumberFormat="1"/>
    <xf numFmtId="2" fontId="0" fillId="0" borderId="0" xfId="0" applyNumberFormat="1"/>
    <xf numFmtId="0" fontId="0" fillId="0" borderId="0" xfId="0" applyNumberFormat="1"/>
    <xf numFmtId="20" fontId="0" fillId="0" borderId="0" xfId="0" applyNumberFormat="1"/>
    <xf numFmtId="165" fontId="0" fillId="0" borderId="0" xfId="0" applyNumberFormat="1"/>
  </cellXfs>
  <cellStyles count="2">
    <cellStyle name="Normal" xfId="0" builtinId="0"/>
    <cellStyle name="Normal 2" xfId="1" xr:uid="{EAF64BCA-D091-4013-8CEF-8229ED13CAE3}"/>
  </cellStyles>
  <dxfs count="12">
    <dxf>
      <numFmt numFmtId="164" formatCode="[$-809]dd\ mmmm\ yyyy;@"/>
    </dxf>
    <dxf>
      <numFmt numFmtId="164" formatCode="[$-809]dd\ mmmm\ yyyy;@"/>
    </dxf>
    <dxf>
      <numFmt numFmtId="165" formatCode="mm:ss;@"/>
    </dxf>
    <dxf>
      <numFmt numFmtId="2" formatCode="0.00"/>
    </dxf>
    <dxf>
      <numFmt numFmtId="23" formatCode="h:mm\ AM/PM"/>
    </dxf>
    <dxf>
      <numFmt numFmtId="23" formatCode="h:mm\ AM/PM"/>
    </dxf>
    <dxf>
      <numFmt numFmtId="23" formatCode="h:mm\ AM/PM"/>
    </dxf>
    <dxf>
      <numFmt numFmtId="23" formatCode="h:mm\ AM/PM"/>
    </dxf>
    <dxf>
      <numFmt numFmtId="19" formatCode="dd/mm/yy"/>
    </dxf>
    <dxf>
      <numFmt numFmtId="2" formatCode="0.00"/>
    </dxf>
    <dxf>
      <numFmt numFmtId="19" formatCode="dd/mm/yy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9525</xdr:rowOff>
    </xdr:from>
    <xdr:to>
      <xdr:col>4</xdr:col>
      <xdr:colOff>987022</xdr:colOff>
      <xdr:row>3</xdr:row>
      <xdr:rowOff>72946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4E46B2-DB9F-4901-AA81-E0E24C93A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" y="9525"/>
          <a:ext cx="3225397" cy="6349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82147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1064A9-4303-4A0B-8EC2-4609CE570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" y="0"/>
          <a:ext cx="3225397" cy="6349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491722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06CF7B-8AFE-4BFB-9F80-E95E3FAA6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0"/>
          <a:ext cx="3225397" cy="6349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596497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F6A220-B312-46F6-8139-87F5EB783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0"/>
          <a:ext cx="3225397" cy="63492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596497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CE27E8-C7BB-4612-AB11-6DE39064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" y="0"/>
          <a:ext cx="3225397" cy="63492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91672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345C8B-77D6-4FAD-A428-BF7189770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0"/>
          <a:ext cx="3225397" cy="63492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3225397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B65287-33C7-4166-B65B-07FD0B333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" y="0"/>
          <a:ext cx="3225397" cy="63492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272647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69534E-D837-4A67-970F-1AF1F0BBA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" y="0"/>
          <a:ext cx="3225397" cy="63492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596497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527FC0-25C5-43B8-8770-F32A2F916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0"/>
          <a:ext cx="3225397" cy="63492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253597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957724-FBE1-4AC1-A3B9-04936CC0D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" y="0"/>
          <a:ext cx="3225397" cy="6349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186922</xdr:colOff>
      <xdr:row>3</xdr:row>
      <xdr:rowOff>63421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55DBCE-6BCF-4050-8396-374ED4F08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0"/>
          <a:ext cx="3225397" cy="63492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D6AD3D-DD7A-4134-9B16-73C020315A71}" name="Table1" displayName="Table1" ref="A6:AF106" totalsRowShown="0">
  <autoFilter ref="A6:AF106" xr:uid="{D0FBE945-2E72-4B1A-B64A-42E1448A543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xr3:uid="{614F4DF0-DBB9-4A7D-8DC8-6765D12325F3}" name="Employee ID"/>
    <tableColumn id="2" xr3:uid="{43593471-CA76-4BDB-B779-20DA9C819E09}" name="First Name"/>
    <tableColumn id="3" xr3:uid="{910C6074-5F9F-428F-B350-E984CA47A0A7}" name="Other Name"/>
    <tableColumn id="4" xr3:uid="{555A4EC9-3E5F-4CEA-8157-B247036CC136}" name="Surname"/>
    <tableColumn id="5" xr3:uid="{9CE82875-43BF-433C-BFA8-4245234A8BAB}" name="Address Line 1"/>
    <tableColumn id="6" xr3:uid="{17D59762-6C19-4568-89BB-54E159CDA869}" name="Address Line 2"/>
    <tableColumn id="7" xr3:uid="{9F91CF30-FE26-4180-9492-67422B6BA739}" name="State"/>
    <tableColumn id="8" xr3:uid="{0D35C6F9-FC2A-4199-87B3-BDC471DFBBAD}" name="Country"/>
    <tableColumn id="9" xr3:uid="{D1A9AB8A-DF41-46D2-9678-4C6DFC72B6CA}" name="Personal Email"/>
    <tableColumn id="10" xr3:uid="{64652130-3D6D-4AA9-A797-D219F1E22502}" name="Company Email"/>
    <tableColumn id="11" xr3:uid="{AF956EC9-5BF7-4D3D-BB29-2F2AD755E850}" name="Phone"/>
    <tableColumn id="12" xr3:uid="{5AB74F9F-E8EF-4B74-90F9-54707D705A50}" name="Other Phone"/>
    <tableColumn id="13" xr3:uid="{A32A54B8-C24A-45AE-89DD-C0411AA9E10A}" name="Gender"/>
    <tableColumn id="14" xr3:uid="{C9725338-69D5-4D0A-90CA-26D7080AA23B}" name="Title"/>
    <tableColumn id="15" xr3:uid="{1D020D6F-39D7-496D-802D-CDA1BB4B22C2}" name="Date of Birth"/>
    <tableColumn id="16" xr3:uid="{9A1ED5A2-2DA7-42E1-AB73-9E4C17F6B0D5}" name="Start Date" dataDxfId="11"/>
    <tableColumn id="17" xr3:uid="{1351A365-15E0-4CF9-A449-94646A0CCDF0}" name="End Date" dataDxfId="10"/>
    <tableColumn id="18" xr3:uid="{14EFE6DB-4F80-4E40-ACDB-9E7DF00766C2}" name="Job Title"/>
    <tableColumn id="19" xr3:uid="{F417234B-8705-41BB-89FF-7A08CD7FF3A3}" name="Salary"/>
    <tableColumn id="20" xr3:uid="{B619ED7C-F946-41A9-9B1B-60D27290DCA2}" name="Manager"/>
    <tableColumn id="21" xr3:uid="{F4E95B1C-D967-4423-AE02-7D93717ECDA7}" name="Employee Type"/>
    <tableColumn id="22" xr3:uid="{2C4CB276-0374-4296-863B-AAF900B1F043}" name="Contract Type"/>
    <tableColumn id="23" xr3:uid="{CACBD438-0F78-484E-900B-746C467D0C4A}" name="Payment Type"/>
    <tableColumn id="24" xr3:uid="{5B9403C1-EBB8-4BE4-A12D-5992E916110E}" name="Payment Rate"/>
    <tableColumn id="25" xr3:uid="{AFB0AF4A-D97F-4D0E-93A4-F88167C8F565}" name="Vacation Rate" dataCellStyle="Normal 2"/>
    <tableColumn id="26" xr3:uid="{E4E5B7FB-90A7-4CC6-91D8-5D752FAEB708}" name="Department"/>
    <tableColumn id="27" xr3:uid="{09B66230-93A7-4017-8D87-E9E0220F221E}" name="Picture"/>
    <tableColumn id="28" xr3:uid="{897BE44C-22AD-4767-948E-ED01426F853A}" name="Username"/>
    <tableColumn id="29" xr3:uid="{892DD4CD-65BC-464D-B0B7-99463E43871B}" name="Password"/>
    <tableColumn id="30" xr3:uid="{EBDE1031-48BB-404C-BB66-BD38B3F62033}" name="Emergency Contact Relation"/>
    <tableColumn id="31" xr3:uid="{4FFFF436-5C25-4F62-AF0C-66035033C0D8}" name="Emergency Contact Number"/>
    <tableColumn id="32" xr3:uid="{B58A362D-4D5A-4C43-8E24-86A26119D87D}" name="Years of Service">
      <calculatedColumnFormula>FLOOR(ABS((P7-Q7)/365),1)</calculatedColumnFormula>
    </tableColumn>
  </tableColumns>
  <tableStyleInfo name="TableStyleLight1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CE54BD-E566-4321-80FB-CA96A431011B}" name="Table2" displayName="Table2" ref="A6:C14" totalsRowShown="0">
  <autoFilter ref="A6:C14" xr:uid="{CB24EF0F-3A57-4C39-82A6-3BC6F4641898}">
    <filterColumn colId="0" hiddenButton="1"/>
    <filterColumn colId="1" hiddenButton="1"/>
    <filterColumn colId="2" hiddenButton="1"/>
  </autoFilter>
  <tableColumns count="3">
    <tableColumn id="1" xr3:uid="{8385CF4D-8D1F-4F0B-939E-C3961CF143EF}" name="Department"/>
    <tableColumn id="2" xr3:uid="{DC48ACE8-92C0-400C-85A8-7A1B2029DAD6}" name="Department Head"/>
    <tableColumn id="3" xr3:uid="{9971210F-7617-47D8-9C40-8D9FF20EDA47}" name="ID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E21F50-9E0A-4175-B074-52A7099C609B}" name="Table3" displayName="Table3" ref="A6:C106" totalsRowShown="0">
  <autoFilter ref="A6:C106" xr:uid="{36B60650-C227-462E-AFE4-3E1896508D9E}">
    <filterColumn colId="0" hiddenButton="1"/>
    <filterColumn colId="1" hiddenButton="1"/>
    <filterColumn colId="2" hiddenButton="1"/>
  </autoFilter>
  <tableColumns count="3">
    <tableColumn id="1" xr3:uid="{8D914978-1B19-49D5-8293-BB1838FE7D89}" name="Title"/>
    <tableColumn id="2" xr3:uid="{6DB198A1-F369-4479-B403-0DD4DFEAB228}" name="Seniority"/>
    <tableColumn id="3" xr3:uid="{30F37FF5-1900-476D-A145-1554FA4A931D}" name="ID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945DB5-FC59-4A62-8DD7-CDD1C1DF40CC}" name="Table4" displayName="Table4" ref="A6:B10" totalsRowShown="0">
  <autoFilter ref="A6:B10" xr:uid="{08D9E6C5-A1DE-4D5F-BA10-A9DC6E43BDBB}">
    <filterColumn colId="0" hiddenButton="1"/>
    <filterColumn colId="1" hiddenButton="1"/>
  </autoFilter>
  <tableColumns count="2">
    <tableColumn id="1" xr3:uid="{61589A98-FEE4-4E2A-8640-CBDD393D10C6}" name="Type"/>
    <tableColumn id="2" xr3:uid="{B18A1148-55CF-42E7-8716-885921EE7B62}" name="ID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219910-3FB7-4831-81D3-D6E55534E71A}" name="Table5" displayName="Table5" ref="A6:B15" totalsRowShown="0">
  <autoFilter ref="A6:B15" xr:uid="{292F2AA7-97FE-4B08-BA85-BB8CFDB56EC8}">
    <filterColumn colId="0" hiddenButton="1"/>
    <filterColumn colId="1" hiddenButton="1"/>
  </autoFilter>
  <tableColumns count="2">
    <tableColumn id="1" xr3:uid="{2416F79B-20FA-4694-9E5D-699DD6C8D23C}" name="Type"/>
    <tableColumn id="2" xr3:uid="{BAEE321F-F67E-4234-83A3-B56BCBAC67C6}" name="ID"/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8E7180-B882-47DB-8CC6-212E07EE98C0}" name="Table6" displayName="Table6" ref="A6:C11" totalsRowShown="0">
  <autoFilter ref="A6:C11" xr:uid="{29FABD8D-F398-4BFC-9A04-76687AE120F2}">
    <filterColumn colId="0" hiddenButton="1"/>
    <filterColumn colId="1" hiddenButton="1"/>
    <filterColumn colId="2" hiddenButton="1"/>
  </autoFilter>
  <tableColumns count="3">
    <tableColumn id="1" xr3:uid="{123A73EA-8992-4F7D-85F7-67C95A388398}" name="Rate"/>
    <tableColumn id="2" xr3:uid="{119A80B4-4C1F-4B4D-A919-44D30FD6780A}" name="Description"/>
    <tableColumn id="3" xr3:uid="{35559655-16AD-46C3-850D-EF66B94A6839}" name="ID"/>
  </tableColumns>
  <tableStyleInfo name="TableStyleLight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6218FA-E954-4D86-833A-EF05ACDB71AC}" name="Table7" displayName="Table7" ref="A6:C13" totalsRowShown="0">
  <autoFilter ref="A6:C13" xr:uid="{2B863567-7FE5-4B07-9BC7-1ECDE14919EB}">
    <filterColumn colId="0" hiddenButton="1"/>
    <filterColumn colId="1" hiddenButton="1"/>
    <filterColumn colId="2" hiddenButton="1"/>
  </autoFilter>
  <tableColumns count="3">
    <tableColumn id="1" xr3:uid="{09F64956-7F74-4FD5-8D79-30BCFDDD381F}" name="Rate" dataDxfId="9"/>
    <tableColumn id="2" xr3:uid="{FD1DF3FF-6B68-41F7-8EF1-5378B0B5A40A}" name="Description"/>
    <tableColumn id="3" xr3:uid="{A48FA541-56EE-4853-8657-0BFAEF90F705}" name="ID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E670A7-DD2F-48F3-8245-E696C6D199E3}" name="Table8" displayName="Table8" ref="A6:B16" totalsRowShown="0">
  <autoFilter ref="A6:B16" xr:uid="{8AB84A84-2323-4AB5-AAC8-D9664F338AFC}">
    <filterColumn colId="0" hiddenButton="1"/>
    <filterColumn colId="1" hiddenButton="1"/>
  </autoFilter>
  <tableColumns count="2">
    <tableColumn id="1" xr3:uid="{818C11C9-043A-4EBD-9F2C-411194193B96}" name="Type"/>
    <tableColumn id="2" xr3:uid="{0BA23CA7-F005-4C94-B18E-89BF3B42D44B}" name="ID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056157B-9AED-4772-A5EE-6EB95F3D9FAB}" name="Table9" displayName="Table9" ref="A6:B9" totalsRowShown="0">
  <autoFilter ref="A6:B9" xr:uid="{798D35EE-C28C-4683-A6DE-C7A705EA1BD3}">
    <filterColumn colId="0" hiddenButton="1"/>
    <filterColumn colId="1" hiddenButton="1"/>
  </autoFilter>
  <tableColumns count="2">
    <tableColumn id="1" xr3:uid="{06F6AB32-E231-41B7-9F14-649EBD43FAA8}" name="Type"/>
    <tableColumn id="2" xr3:uid="{355A50A4-8E28-45BD-A363-E7229BCA4039}" name="ID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D675CA-1E90-46CB-97C0-2B0D8C68B7AA}" name="Table10" displayName="Table10" ref="A6:H1006" totalsRowShown="0">
  <autoFilter ref="A6:H1006" xr:uid="{CD12EE26-F1F7-4F02-8484-60B5DCA4127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0EC09D-B83F-468B-8EC7-A46A60AAF6C2}" name="Employee ID"/>
    <tableColumn id="2" xr3:uid="{357E5071-9513-4EE1-86A7-26C3EB2D2BAA}" name="Date" dataDxfId="8"/>
    <tableColumn id="3" xr3:uid="{2FE38AF2-7FB2-41E6-A5E0-981E20A9262B}" name="Time In" dataDxfId="7"/>
    <tableColumn id="4" xr3:uid="{84A7D5C9-D448-497E-B85C-358DCEE7A2FB}" name="Lunch Out" dataDxfId="6"/>
    <tableColumn id="5" xr3:uid="{D98EECD6-FD94-47D2-BB8F-EB0D37D3758A}" name="Lunch In" dataDxfId="5"/>
    <tableColumn id="6" xr3:uid="{4A28C660-51EB-441B-9F81-03865301DBE4}" name="Time Out" dataDxfId="4"/>
    <tableColumn id="7" xr3:uid="{DEAC97B7-C2AD-4AD6-973B-0CDC45FA9D5C}" name="Total Time" dataDxfId="3">
      <calculatedColumnFormula>((D7-C7)*24)+((F7-E7)*24)</calculatedColumnFormula>
    </tableColumn>
    <tableColumn id="8" xr3:uid="{27AF395D-BA99-454C-979E-F932893F19CA}" name="Minutes Late" dataDxfId="2">
      <calculatedColumnFormula>MOD((TIME(8,30,0)-C7),1)+MOD((TIME(13,0,0)-E7),1)</calculatedColumnFormula>
    </tableColumn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AEC2AB-09E4-4BB1-8645-DCA9BE6F2837}" name="Table11" displayName="Table11" ref="A6:F1006" totalsRowShown="0">
  <tableColumns count="6">
    <tableColumn id="1" xr3:uid="{8D7D5365-AA6A-408C-8712-D87A93BD6776}" name="Employee ID"/>
    <tableColumn id="2" xr3:uid="{CBE954F9-AA05-4DB0-9A9E-1AE9E0E9678F}" name="Total Vacation"/>
    <tableColumn id="3" xr3:uid="{93607257-2673-4124-9EE2-BAF9CBA04915}" name="Vacation Used"/>
    <tableColumn id="4" xr3:uid="{ACBEDA96-6B1E-49C1-9FEF-F148FD9D2B46}" name="Vacation Start" dataDxfId="1"/>
    <tableColumn id="5" xr3:uid="{4D3CAAB8-1169-4242-BF3F-4C17EBCE5ED2}" name="Vacation End" dataDxfId="0"/>
    <tableColumn id="6" xr3:uid="{FD301599-7BF3-4C12-891A-84A2073F9FEC}" name="Vacation Remaining">
      <calculatedColumnFormula>B7-C7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6228-3F4E-44AF-8FD1-787CBD6F302F}">
  <sheetPr codeName="Sheet1"/>
  <dimension ref="A1:AF106"/>
  <sheetViews>
    <sheetView topLeftCell="L1" workbookViewId="0">
      <selection activeCell="V15" sqref="V15"/>
    </sheetView>
  </sheetViews>
  <sheetFormatPr defaultRowHeight="15" x14ac:dyDescent="0.25"/>
  <cols>
    <col min="1" max="1" width="21.140625" bestFit="1" customWidth="1"/>
    <col min="2" max="2" width="10.5703125" bestFit="1" customWidth="1"/>
    <col min="3" max="3" width="11.85546875" bestFit="1" customWidth="1"/>
    <col min="4" max="4" width="11.42578125" bestFit="1" customWidth="1"/>
    <col min="5" max="5" width="31.5703125" bestFit="1" customWidth="1"/>
    <col min="6" max="6" width="36.42578125" bestFit="1" customWidth="1"/>
    <col min="7" max="7" width="27.7109375" bestFit="1" customWidth="1"/>
    <col min="8" max="8" width="43" bestFit="1" customWidth="1"/>
    <col min="9" max="9" width="49.7109375" bestFit="1" customWidth="1"/>
    <col min="10" max="10" width="50.7109375" bestFit="1" customWidth="1"/>
    <col min="11" max="12" width="13.5703125" bestFit="1" customWidth="1"/>
    <col min="13" max="13" width="7.7109375" bestFit="1" customWidth="1"/>
    <col min="14" max="14" width="5" bestFit="1" customWidth="1"/>
    <col min="15" max="15" width="12.140625" bestFit="1" customWidth="1"/>
    <col min="16" max="16" width="9.7109375" bestFit="1" customWidth="1"/>
    <col min="17" max="17" width="8.85546875" bestFit="1" customWidth="1"/>
    <col min="18" max="18" width="25.85546875" bestFit="1" customWidth="1"/>
    <col min="19" max="19" width="6.28515625" bestFit="1" customWidth="1"/>
    <col min="20" max="20" width="20.7109375" bestFit="1" customWidth="1"/>
    <col min="21" max="21" width="14.7109375" bestFit="1" customWidth="1"/>
    <col min="22" max="22" width="13.28515625" bestFit="1" customWidth="1"/>
    <col min="23" max="23" width="13.7109375" bestFit="1" customWidth="1"/>
    <col min="24" max="24" width="13.42578125" bestFit="1" customWidth="1"/>
    <col min="25" max="25" width="13.28515625" bestFit="1" customWidth="1"/>
    <col min="26" max="26" width="25.85546875" bestFit="1" customWidth="1"/>
    <col min="27" max="27" width="14.140625" bestFit="1" customWidth="1"/>
    <col min="28" max="28" width="12.85546875" bestFit="1" customWidth="1"/>
    <col min="29" max="29" width="40.5703125" bestFit="1" customWidth="1"/>
    <col min="30" max="30" width="26.28515625" bestFit="1" customWidth="1"/>
    <col min="31" max="31" width="26.140625" bestFit="1" customWidth="1"/>
    <col min="32" max="32" width="15.140625" bestFit="1" customWidth="1"/>
  </cols>
  <sheetData>
    <row r="1" spans="1:32" x14ac:dyDescent="0.25">
      <c r="A1" t="s">
        <v>0</v>
      </c>
    </row>
    <row r="6" spans="1:32" x14ac:dyDescent="0.25">
      <c r="A6" t="s">
        <v>38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7</v>
      </c>
      <c r="H6" t="s">
        <v>6</v>
      </c>
      <c r="I6" t="s">
        <v>39</v>
      </c>
      <c r="J6" t="s">
        <v>40</v>
      </c>
      <c r="K6" t="s">
        <v>8</v>
      </c>
      <c r="L6" t="s">
        <v>9</v>
      </c>
      <c r="M6" t="s">
        <v>10</v>
      </c>
      <c r="N6" t="s">
        <v>11</v>
      </c>
      <c r="O6" t="s">
        <v>12</v>
      </c>
      <c r="P6" t="s">
        <v>13</v>
      </c>
      <c r="Q6" t="s">
        <v>14</v>
      </c>
      <c r="R6" t="s">
        <v>15</v>
      </c>
      <c r="S6" t="s">
        <v>45</v>
      </c>
      <c r="T6" t="s">
        <v>26</v>
      </c>
      <c r="U6" t="s">
        <v>27</v>
      </c>
      <c r="V6" t="s">
        <v>28</v>
      </c>
      <c r="W6" t="s">
        <v>37</v>
      </c>
      <c r="X6" t="s">
        <v>30</v>
      </c>
      <c r="Y6" t="s">
        <v>29</v>
      </c>
      <c r="Z6" t="s">
        <v>16</v>
      </c>
      <c r="AA6" t="s">
        <v>17</v>
      </c>
      <c r="AB6" t="s">
        <v>18</v>
      </c>
      <c r="AC6" t="s">
        <v>19</v>
      </c>
      <c r="AD6" t="s">
        <v>20</v>
      </c>
      <c r="AE6" t="s">
        <v>21</v>
      </c>
      <c r="AF6" t="s">
        <v>1767</v>
      </c>
    </row>
    <row r="7" spans="1:32" x14ac:dyDescent="0.25">
      <c r="A7">
        <v>1</v>
      </c>
      <c r="B7" t="s">
        <v>75</v>
      </c>
      <c r="C7" t="s">
        <v>76</v>
      </c>
      <c r="D7" t="s">
        <v>77</v>
      </c>
      <c r="E7" t="s">
        <v>78</v>
      </c>
      <c r="F7" t="s">
        <v>79</v>
      </c>
      <c r="G7" t="s">
        <v>80</v>
      </c>
      <c r="H7" t="s">
        <v>81</v>
      </c>
      <c r="I7" t="s">
        <v>82</v>
      </c>
      <c r="J7" t="s">
        <v>83</v>
      </c>
      <c r="K7" t="s">
        <v>84</v>
      </c>
      <c r="L7" t="s">
        <v>85</v>
      </c>
      <c r="M7" t="s">
        <v>86</v>
      </c>
      <c r="N7" t="s">
        <v>87</v>
      </c>
      <c r="O7" t="s">
        <v>88</v>
      </c>
      <c r="P7" s="2">
        <v>40412</v>
      </c>
      <c r="Q7" s="2">
        <v>43278</v>
      </c>
      <c r="R7" t="s">
        <v>89</v>
      </c>
      <c r="S7">
        <v>4196</v>
      </c>
      <c r="T7" t="s">
        <v>90</v>
      </c>
      <c r="U7">
        <v>3</v>
      </c>
      <c r="V7">
        <v>3</v>
      </c>
      <c r="W7" t="s">
        <v>45</v>
      </c>
      <c r="X7">
        <v>3</v>
      </c>
      <c r="Y7" s="1">
        <v>2.5</v>
      </c>
      <c r="Z7" t="s">
        <v>91</v>
      </c>
      <c r="AA7" t="s">
        <v>92</v>
      </c>
      <c r="AB7" t="s">
        <v>93</v>
      </c>
      <c r="AC7" t="s">
        <v>94</v>
      </c>
      <c r="AD7" t="s">
        <v>95</v>
      </c>
      <c r="AE7" t="s">
        <v>96</v>
      </c>
      <c r="AF7">
        <f>FLOOR(ABS((P7-Q7)/365),1)</f>
        <v>7</v>
      </c>
    </row>
    <row r="8" spans="1:32" x14ac:dyDescent="0.25">
      <c r="A8">
        <v>2</v>
      </c>
      <c r="B8" t="s">
        <v>97</v>
      </c>
      <c r="C8" t="s">
        <v>98</v>
      </c>
      <c r="D8" t="s">
        <v>99</v>
      </c>
      <c r="E8" t="s">
        <v>100</v>
      </c>
      <c r="F8" t="s">
        <v>101</v>
      </c>
      <c r="G8" t="s">
        <v>102</v>
      </c>
      <c r="H8" t="s">
        <v>103</v>
      </c>
      <c r="I8" t="s">
        <v>104</v>
      </c>
      <c r="J8" t="s">
        <v>105</v>
      </c>
      <c r="K8" t="s">
        <v>106</v>
      </c>
      <c r="L8" t="s">
        <v>107</v>
      </c>
      <c r="M8" t="s">
        <v>108</v>
      </c>
      <c r="N8" t="s">
        <v>109</v>
      </c>
      <c r="O8" t="s">
        <v>110</v>
      </c>
      <c r="P8" s="2">
        <v>41469</v>
      </c>
      <c r="Q8" s="2">
        <v>38649</v>
      </c>
      <c r="R8" t="s">
        <v>91</v>
      </c>
      <c r="S8">
        <v>3698</v>
      </c>
      <c r="T8" t="s">
        <v>111</v>
      </c>
      <c r="U8">
        <v>3</v>
      </c>
      <c r="V8">
        <v>3</v>
      </c>
      <c r="W8" t="s">
        <v>55</v>
      </c>
      <c r="X8">
        <v>2</v>
      </c>
      <c r="Y8" s="1">
        <v>2.5</v>
      </c>
      <c r="Z8" t="s">
        <v>112</v>
      </c>
      <c r="AA8" t="s">
        <v>113</v>
      </c>
      <c r="AB8" t="s">
        <v>114</v>
      </c>
      <c r="AC8" t="s">
        <v>115</v>
      </c>
      <c r="AD8" t="s">
        <v>116</v>
      </c>
      <c r="AE8" t="s">
        <v>117</v>
      </c>
      <c r="AF8">
        <f t="shared" ref="AF8:AF71" si="0">FLOOR(ABS((P8-Q8)/365),1)</f>
        <v>7</v>
      </c>
    </row>
    <row r="9" spans="1:32" x14ac:dyDescent="0.25">
      <c r="A9">
        <v>3</v>
      </c>
      <c r="B9" t="s">
        <v>118</v>
      </c>
      <c r="C9" t="s">
        <v>119</v>
      </c>
      <c r="D9" t="s">
        <v>120</v>
      </c>
      <c r="E9" t="s">
        <v>121</v>
      </c>
      <c r="F9" t="s">
        <v>122</v>
      </c>
      <c r="G9" t="s">
        <v>123</v>
      </c>
      <c r="H9" t="s">
        <v>124</v>
      </c>
      <c r="I9" t="s">
        <v>125</v>
      </c>
      <c r="J9" t="s">
        <v>126</v>
      </c>
      <c r="K9" t="s">
        <v>127</v>
      </c>
      <c r="L9" t="s">
        <v>128</v>
      </c>
      <c r="M9" t="s">
        <v>108</v>
      </c>
      <c r="N9" t="s">
        <v>129</v>
      </c>
      <c r="O9" t="s">
        <v>130</v>
      </c>
      <c r="P9" s="2">
        <v>40490</v>
      </c>
      <c r="Q9" s="2">
        <v>38494</v>
      </c>
      <c r="R9" t="s">
        <v>131</v>
      </c>
      <c r="S9">
        <v>3504</v>
      </c>
      <c r="T9" t="s">
        <v>132</v>
      </c>
      <c r="U9">
        <v>4</v>
      </c>
      <c r="V9">
        <v>4</v>
      </c>
      <c r="W9" t="s">
        <v>45</v>
      </c>
      <c r="X9">
        <v>1</v>
      </c>
      <c r="Y9" s="1">
        <v>2</v>
      </c>
      <c r="Z9" t="s">
        <v>91</v>
      </c>
      <c r="AA9" t="s">
        <v>133</v>
      </c>
      <c r="AB9" t="s">
        <v>134</v>
      </c>
      <c r="AC9" t="s">
        <v>135</v>
      </c>
      <c r="AD9" t="s">
        <v>136</v>
      </c>
      <c r="AE9" t="s">
        <v>137</v>
      </c>
      <c r="AF9">
        <f t="shared" si="0"/>
        <v>5</v>
      </c>
    </row>
    <row r="10" spans="1:32" x14ac:dyDescent="0.25">
      <c r="A10">
        <v>4</v>
      </c>
      <c r="B10" t="s">
        <v>138</v>
      </c>
      <c r="C10" t="s">
        <v>139</v>
      </c>
      <c r="D10" t="s">
        <v>140</v>
      </c>
      <c r="E10" t="s">
        <v>141</v>
      </c>
      <c r="F10" t="s">
        <v>142</v>
      </c>
      <c r="G10" t="s">
        <v>143</v>
      </c>
      <c r="H10" t="s">
        <v>144</v>
      </c>
      <c r="I10" t="s">
        <v>145</v>
      </c>
      <c r="J10" t="s">
        <v>146</v>
      </c>
      <c r="K10" t="s">
        <v>147</v>
      </c>
      <c r="L10" t="s">
        <v>148</v>
      </c>
      <c r="M10" t="s">
        <v>108</v>
      </c>
      <c r="N10" t="s">
        <v>109</v>
      </c>
      <c r="O10" t="s">
        <v>149</v>
      </c>
      <c r="P10" s="2">
        <v>40447</v>
      </c>
      <c r="Q10" s="2">
        <v>40684</v>
      </c>
      <c r="R10" t="s">
        <v>91</v>
      </c>
      <c r="S10">
        <v>6530</v>
      </c>
      <c r="T10" t="s">
        <v>150</v>
      </c>
      <c r="U10">
        <v>6</v>
      </c>
      <c r="V10">
        <v>6</v>
      </c>
      <c r="W10" t="s">
        <v>45</v>
      </c>
      <c r="X10">
        <v>4</v>
      </c>
      <c r="Y10" s="1">
        <v>2.5</v>
      </c>
      <c r="Z10" t="s">
        <v>151</v>
      </c>
      <c r="AA10" t="s">
        <v>152</v>
      </c>
      <c r="AB10" t="s">
        <v>153</v>
      </c>
      <c r="AC10" t="s">
        <v>154</v>
      </c>
      <c r="AD10" t="s">
        <v>155</v>
      </c>
      <c r="AE10" t="s">
        <v>156</v>
      </c>
      <c r="AF10">
        <f t="shared" si="0"/>
        <v>0</v>
      </c>
    </row>
    <row r="11" spans="1:32" x14ac:dyDescent="0.25">
      <c r="A11">
        <v>5</v>
      </c>
      <c r="B11" t="s">
        <v>157</v>
      </c>
      <c r="C11" t="s">
        <v>158</v>
      </c>
      <c r="D11" t="s">
        <v>159</v>
      </c>
      <c r="E11" t="s">
        <v>160</v>
      </c>
      <c r="F11" t="s">
        <v>161</v>
      </c>
      <c r="G11" t="s">
        <v>162</v>
      </c>
      <c r="H11" t="s">
        <v>163</v>
      </c>
      <c r="I11" t="s">
        <v>164</v>
      </c>
      <c r="J11" t="s">
        <v>165</v>
      </c>
      <c r="K11" t="s">
        <v>166</v>
      </c>
      <c r="L11" t="s">
        <v>167</v>
      </c>
      <c r="M11" t="s">
        <v>86</v>
      </c>
      <c r="N11" t="s">
        <v>87</v>
      </c>
      <c r="O11" t="s">
        <v>168</v>
      </c>
      <c r="P11" s="2">
        <v>39026</v>
      </c>
      <c r="Q11" s="2">
        <v>40963</v>
      </c>
      <c r="R11" t="s">
        <v>169</v>
      </c>
      <c r="S11">
        <v>3802</v>
      </c>
      <c r="T11" t="s">
        <v>170</v>
      </c>
      <c r="U11">
        <v>7</v>
      </c>
      <c r="V11">
        <v>7</v>
      </c>
      <c r="W11" t="s">
        <v>69</v>
      </c>
      <c r="X11">
        <v>2</v>
      </c>
      <c r="Y11" s="1">
        <v>1.5</v>
      </c>
      <c r="Z11" t="s">
        <v>171</v>
      </c>
      <c r="AA11" t="s">
        <v>172</v>
      </c>
      <c r="AB11" t="s">
        <v>173</v>
      </c>
      <c r="AC11" t="s">
        <v>174</v>
      </c>
      <c r="AD11" t="s">
        <v>175</v>
      </c>
      <c r="AE11" t="s">
        <v>176</v>
      </c>
      <c r="AF11">
        <f t="shared" si="0"/>
        <v>5</v>
      </c>
    </row>
    <row r="12" spans="1:32" x14ac:dyDescent="0.25">
      <c r="A12">
        <v>6</v>
      </c>
      <c r="B12" t="s">
        <v>177</v>
      </c>
      <c r="C12" t="s">
        <v>178</v>
      </c>
      <c r="D12" t="s">
        <v>179</v>
      </c>
      <c r="E12" t="s">
        <v>180</v>
      </c>
      <c r="F12" t="s">
        <v>181</v>
      </c>
      <c r="G12" t="s">
        <v>182</v>
      </c>
      <c r="H12" t="s">
        <v>183</v>
      </c>
      <c r="I12" t="s">
        <v>184</v>
      </c>
      <c r="J12" t="s">
        <v>185</v>
      </c>
      <c r="K12" t="s">
        <v>186</v>
      </c>
      <c r="L12" t="s">
        <v>187</v>
      </c>
      <c r="M12" t="s">
        <v>86</v>
      </c>
      <c r="N12" t="s">
        <v>87</v>
      </c>
      <c r="O12" t="s">
        <v>188</v>
      </c>
      <c r="P12" s="2">
        <v>43309</v>
      </c>
      <c r="Q12" s="2">
        <v>42022</v>
      </c>
      <c r="R12" t="s">
        <v>112</v>
      </c>
      <c r="S12">
        <v>6171</v>
      </c>
      <c r="T12" t="s">
        <v>189</v>
      </c>
      <c r="U12">
        <v>8</v>
      </c>
      <c r="V12">
        <v>8</v>
      </c>
      <c r="W12" t="s">
        <v>45</v>
      </c>
      <c r="X12">
        <v>1</v>
      </c>
      <c r="Y12" s="1">
        <v>2.5</v>
      </c>
      <c r="Z12" t="s">
        <v>190</v>
      </c>
      <c r="AA12" t="s">
        <v>191</v>
      </c>
      <c r="AB12" t="s">
        <v>192</v>
      </c>
      <c r="AC12" t="s">
        <v>193</v>
      </c>
      <c r="AD12" t="s">
        <v>194</v>
      </c>
      <c r="AE12" t="s">
        <v>195</v>
      </c>
      <c r="AF12">
        <f t="shared" si="0"/>
        <v>3</v>
      </c>
    </row>
    <row r="13" spans="1:32" x14ac:dyDescent="0.25">
      <c r="A13">
        <v>7</v>
      </c>
      <c r="B13" t="s">
        <v>196</v>
      </c>
      <c r="C13" t="s">
        <v>197</v>
      </c>
      <c r="D13" t="s">
        <v>198</v>
      </c>
      <c r="E13" t="s">
        <v>199</v>
      </c>
      <c r="F13" t="s">
        <v>200</v>
      </c>
      <c r="G13" t="s">
        <v>201</v>
      </c>
      <c r="H13" t="s">
        <v>202</v>
      </c>
      <c r="I13" t="s">
        <v>203</v>
      </c>
      <c r="J13" t="s">
        <v>204</v>
      </c>
      <c r="K13" t="s">
        <v>205</v>
      </c>
      <c r="L13" t="s">
        <v>206</v>
      </c>
      <c r="M13" t="s">
        <v>86</v>
      </c>
      <c r="N13" t="s">
        <v>207</v>
      </c>
      <c r="O13" t="s">
        <v>208</v>
      </c>
      <c r="P13" s="2">
        <v>37591</v>
      </c>
      <c r="Q13" s="2">
        <v>43532</v>
      </c>
      <c r="R13" t="s">
        <v>131</v>
      </c>
      <c r="S13">
        <v>3781</v>
      </c>
      <c r="T13" t="s">
        <v>209</v>
      </c>
      <c r="U13">
        <v>7</v>
      </c>
      <c r="V13">
        <v>7</v>
      </c>
      <c r="W13" t="s">
        <v>45</v>
      </c>
      <c r="X13">
        <v>3</v>
      </c>
      <c r="Y13" s="1">
        <v>0.5</v>
      </c>
      <c r="Z13" t="s">
        <v>210</v>
      </c>
      <c r="AA13" t="s">
        <v>211</v>
      </c>
      <c r="AB13" t="s">
        <v>212</v>
      </c>
      <c r="AC13" t="s">
        <v>213</v>
      </c>
      <c r="AD13" t="s">
        <v>136</v>
      </c>
      <c r="AE13" t="s">
        <v>214</v>
      </c>
      <c r="AF13">
        <f t="shared" si="0"/>
        <v>16</v>
      </c>
    </row>
    <row r="14" spans="1:32" x14ac:dyDescent="0.25">
      <c r="A14">
        <v>8</v>
      </c>
      <c r="B14" t="s">
        <v>215</v>
      </c>
      <c r="C14" t="s">
        <v>216</v>
      </c>
      <c r="D14" t="s">
        <v>217</v>
      </c>
      <c r="E14" t="s">
        <v>218</v>
      </c>
      <c r="F14" t="s">
        <v>219</v>
      </c>
      <c r="G14" t="s">
        <v>220</v>
      </c>
      <c r="H14" t="s">
        <v>221</v>
      </c>
      <c r="I14" t="s">
        <v>222</v>
      </c>
      <c r="J14" t="s">
        <v>223</v>
      </c>
      <c r="K14" t="s">
        <v>224</v>
      </c>
      <c r="L14" t="s">
        <v>225</v>
      </c>
      <c r="M14" t="s">
        <v>86</v>
      </c>
      <c r="N14" t="s">
        <v>87</v>
      </c>
      <c r="O14" t="s">
        <v>226</v>
      </c>
      <c r="P14" s="2">
        <v>38140</v>
      </c>
      <c r="Q14" s="2">
        <v>39797</v>
      </c>
      <c r="R14" t="s">
        <v>190</v>
      </c>
      <c r="S14">
        <v>4354</v>
      </c>
      <c r="T14" t="s">
        <v>227</v>
      </c>
      <c r="U14">
        <v>9</v>
      </c>
      <c r="V14">
        <v>9</v>
      </c>
      <c r="W14" t="s">
        <v>55</v>
      </c>
      <c r="X14">
        <v>3</v>
      </c>
      <c r="Y14" s="1">
        <v>0.75</v>
      </c>
      <c r="Z14" t="s">
        <v>228</v>
      </c>
      <c r="AA14" t="s">
        <v>229</v>
      </c>
      <c r="AB14" t="s">
        <v>230</v>
      </c>
      <c r="AC14" t="s">
        <v>231</v>
      </c>
      <c r="AD14" t="s">
        <v>95</v>
      </c>
      <c r="AE14" t="s">
        <v>232</v>
      </c>
      <c r="AF14">
        <f t="shared" si="0"/>
        <v>4</v>
      </c>
    </row>
    <row r="15" spans="1:32" x14ac:dyDescent="0.25">
      <c r="A15">
        <v>9</v>
      </c>
      <c r="B15" t="s">
        <v>233</v>
      </c>
      <c r="C15" t="s">
        <v>234</v>
      </c>
      <c r="D15" t="s">
        <v>235</v>
      </c>
      <c r="E15" t="s">
        <v>236</v>
      </c>
      <c r="F15" t="s">
        <v>237</v>
      </c>
      <c r="G15" t="s">
        <v>238</v>
      </c>
      <c r="H15" t="s">
        <v>239</v>
      </c>
      <c r="I15" t="s">
        <v>240</v>
      </c>
      <c r="J15" t="s">
        <v>241</v>
      </c>
      <c r="K15" t="s">
        <v>242</v>
      </c>
      <c r="L15" t="s">
        <v>243</v>
      </c>
      <c r="M15" t="s">
        <v>108</v>
      </c>
      <c r="N15" t="s">
        <v>109</v>
      </c>
      <c r="O15" t="s">
        <v>244</v>
      </c>
      <c r="P15" s="2">
        <v>43032</v>
      </c>
      <c r="Q15" s="2">
        <v>38059</v>
      </c>
      <c r="R15" t="s">
        <v>91</v>
      </c>
      <c r="S15">
        <v>6957</v>
      </c>
      <c r="T15" t="s">
        <v>245</v>
      </c>
      <c r="U15">
        <v>4</v>
      </c>
      <c r="V15">
        <v>4</v>
      </c>
      <c r="W15" t="s">
        <v>69</v>
      </c>
      <c r="X15">
        <v>4</v>
      </c>
      <c r="Y15" s="1">
        <v>3</v>
      </c>
      <c r="Z15" t="s">
        <v>171</v>
      </c>
      <c r="AA15" t="s">
        <v>246</v>
      </c>
      <c r="AB15" t="s">
        <v>247</v>
      </c>
      <c r="AC15" t="s">
        <v>248</v>
      </c>
      <c r="AD15" t="s">
        <v>116</v>
      </c>
      <c r="AE15" t="s">
        <v>249</v>
      </c>
      <c r="AF15">
        <f t="shared" si="0"/>
        <v>13</v>
      </c>
    </row>
    <row r="16" spans="1:32" x14ac:dyDescent="0.25">
      <c r="A16">
        <v>10</v>
      </c>
      <c r="B16" t="s">
        <v>250</v>
      </c>
      <c r="C16" t="s">
        <v>251</v>
      </c>
      <c r="D16" t="s">
        <v>252</v>
      </c>
      <c r="E16" t="s">
        <v>253</v>
      </c>
      <c r="F16" t="s">
        <v>254</v>
      </c>
      <c r="G16" t="s">
        <v>255</v>
      </c>
      <c r="H16" t="s">
        <v>256</v>
      </c>
      <c r="I16" t="s">
        <v>257</v>
      </c>
      <c r="J16" t="s">
        <v>258</v>
      </c>
      <c r="K16" t="s">
        <v>259</v>
      </c>
      <c r="L16" t="s">
        <v>260</v>
      </c>
      <c r="M16" t="s">
        <v>108</v>
      </c>
      <c r="O16" t="s">
        <v>261</v>
      </c>
      <c r="P16" s="2">
        <v>41088</v>
      </c>
      <c r="Q16" s="2">
        <v>43713</v>
      </c>
      <c r="R16" t="s">
        <v>112</v>
      </c>
      <c r="S16">
        <v>7113</v>
      </c>
      <c r="T16" t="s">
        <v>262</v>
      </c>
      <c r="U16">
        <v>9</v>
      </c>
      <c r="V16">
        <v>9</v>
      </c>
      <c r="W16" t="s">
        <v>55</v>
      </c>
      <c r="X16">
        <v>3</v>
      </c>
      <c r="Y16" s="1">
        <v>2.5</v>
      </c>
      <c r="Z16" t="s">
        <v>263</v>
      </c>
      <c r="AA16" t="s">
        <v>264</v>
      </c>
      <c r="AB16" t="s">
        <v>265</v>
      </c>
      <c r="AC16" t="s">
        <v>266</v>
      </c>
      <c r="AD16" t="s">
        <v>267</v>
      </c>
      <c r="AE16" t="s">
        <v>268</v>
      </c>
      <c r="AF16">
        <f t="shared" si="0"/>
        <v>7</v>
      </c>
    </row>
    <row r="17" spans="1:32" x14ac:dyDescent="0.25">
      <c r="A17">
        <v>11</v>
      </c>
      <c r="B17" t="s">
        <v>269</v>
      </c>
      <c r="C17" t="s">
        <v>270</v>
      </c>
      <c r="D17" t="s">
        <v>271</v>
      </c>
      <c r="E17" t="s">
        <v>272</v>
      </c>
      <c r="F17" t="s">
        <v>273</v>
      </c>
      <c r="G17" t="s">
        <v>274</v>
      </c>
      <c r="H17" t="s">
        <v>275</v>
      </c>
      <c r="I17" t="s">
        <v>276</v>
      </c>
      <c r="J17" t="s">
        <v>277</v>
      </c>
      <c r="K17" t="s">
        <v>278</v>
      </c>
      <c r="L17" t="s">
        <v>279</v>
      </c>
      <c r="M17" t="s">
        <v>86</v>
      </c>
      <c r="O17" t="s">
        <v>280</v>
      </c>
      <c r="P17" s="2">
        <v>39050</v>
      </c>
      <c r="Q17" s="2">
        <v>42937</v>
      </c>
      <c r="R17" t="s">
        <v>263</v>
      </c>
      <c r="S17">
        <v>8958</v>
      </c>
      <c r="T17" t="s">
        <v>281</v>
      </c>
      <c r="U17">
        <v>7</v>
      </c>
      <c r="V17">
        <v>7</v>
      </c>
      <c r="W17" t="s">
        <v>45</v>
      </c>
      <c r="X17">
        <v>3</v>
      </c>
      <c r="Y17" s="1">
        <v>2.5</v>
      </c>
      <c r="Z17" t="s">
        <v>131</v>
      </c>
      <c r="AA17" t="s">
        <v>282</v>
      </c>
      <c r="AB17" t="s">
        <v>283</v>
      </c>
      <c r="AC17" t="s">
        <v>284</v>
      </c>
      <c r="AD17" t="s">
        <v>267</v>
      </c>
      <c r="AE17" t="s">
        <v>285</v>
      </c>
      <c r="AF17">
        <f t="shared" si="0"/>
        <v>10</v>
      </c>
    </row>
    <row r="18" spans="1:32" x14ac:dyDescent="0.25">
      <c r="A18">
        <v>12</v>
      </c>
      <c r="B18" t="s">
        <v>286</v>
      </c>
      <c r="C18" t="s">
        <v>287</v>
      </c>
      <c r="D18" t="s">
        <v>288</v>
      </c>
      <c r="E18" t="s">
        <v>289</v>
      </c>
      <c r="F18" t="s">
        <v>290</v>
      </c>
      <c r="G18" t="s">
        <v>291</v>
      </c>
      <c r="H18" t="s">
        <v>292</v>
      </c>
      <c r="I18" t="s">
        <v>293</v>
      </c>
      <c r="J18" t="s">
        <v>294</v>
      </c>
      <c r="K18" t="s">
        <v>295</v>
      </c>
      <c r="L18" t="s">
        <v>296</v>
      </c>
      <c r="M18" t="s">
        <v>108</v>
      </c>
      <c r="N18" t="s">
        <v>109</v>
      </c>
      <c r="O18" t="s">
        <v>297</v>
      </c>
      <c r="P18" s="2">
        <v>37679</v>
      </c>
      <c r="Q18" s="2">
        <v>43111</v>
      </c>
      <c r="R18" t="s">
        <v>91</v>
      </c>
      <c r="S18">
        <v>8409</v>
      </c>
      <c r="T18" t="s">
        <v>298</v>
      </c>
      <c r="U18">
        <v>4</v>
      </c>
      <c r="V18">
        <v>4</v>
      </c>
      <c r="W18" t="s">
        <v>55</v>
      </c>
      <c r="X18">
        <v>4</v>
      </c>
      <c r="Y18" s="1">
        <v>1</v>
      </c>
      <c r="Z18" t="s">
        <v>210</v>
      </c>
      <c r="AA18" t="s">
        <v>299</v>
      </c>
      <c r="AB18" t="s">
        <v>300</v>
      </c>
      <c r="AC18" t="s">
        <v>301</v>
      </c>
      <c r="AD18" t="s">
        <v>155</v>
      </c>
      <c r="AE18" t="s">
        <v>302</v>
      </c>
      <c r="AF18">
        <f t="shared" si="0"/>
        <v>14</v>
      </c>
    </row>
    <row r="19" spans="1:32" x14ac:dyDescent="0.25">
      <c r="A19">
        <v>13</v>
      </c>
      <c r="B19" t="s">
        <v>303</v>
      </c>
      <c r="C19" t="s">
        <v>304</v>
      </c>
      <c r="D19" t="s">
        <v>305</v>
      </c>
      <c r="E19" t="s">
        <v>306</v>
      </c>
      <c r="F19" t="s">
        <v>307</v>
      </c>
      <c r="G19" t="s">
        <v>308</v>
      </c>
      <c r="H19" t="s">
        <v>309</v>
      </c>
      <c r="I19" t="s">
        <v>310</v>
      </c>
      <c r="J19" t="s">
        <v>311</v>
      </c>
      <c r="K19" t="s">
        <v>312</v>
      </c>
      <c r="L19" t="s">
        <v>313</v>
      </c>
      <c r="M19" t="s">
        <v>86</v>
      </c>
      <c r="N19" t="s">
        <v>87</v>
      </c>
      <c r="O19" t="s">
        <v>314</v>
      </c>
      <c r="P19" s="2">
        <v>37686</v>
      </c>
      <c r="Q19" s="2">
        <v>43172</v>
      </c>
      <c r="R19" t="s">
        <v>89</v>
      </c>
      <c r="S19">
        <v>2792</v>
      </c>
      <c r="T19" t="s">
        <v>315</v>
      </c>
      <c r="U19">
        <v>1</v>
      </c>
      <c r="V19">
        <v>1</v>
      </c>
      <c r="W19" t="s">
        <v>69</v>
      </c>
      <c r="X19">
        <v>3</v>
      </c>
      <c r="Y19" s="1">
        <v>3</v>
      </c>
      <c r="Z19" t="s">
        <v>151</v>
      </c>
      <c r="AA19" t="s">
        <v>316</v>
      </c>
      <c r="AB19" t="s">
        <v>317</v>
      </c>
      <c r="AC19" t="s">
        <v>318</v>
      </c>
      <c r="AD19" t="s">
        <v>155</v>
      </c>
      <c r="AE19" t="s">
        <v>319</v>
      </c>
      <c r="AF19">
        <f t="shared" si="0"/>
        <v>15</v>
      </c>
    </row>
    <row r="20" spans="1:32" x14ac:dyDescent="0.25">
      <c r="A20">
        <v>14</v>
      </c>
      <c r="B20" t="s">
        <v>320</v>
      </c>
      <c r="C20" t="s">
        <v>321</v>
      </c>
      <c r="D20" t="s">
        <v>322</v>
      </c>
      <c r="E20" t="s">
        <v>323</v>
      </c>
      <c r="F20" t="s">
        <v>324</v>
      </c>
      <c r="G20" t="s">
        <v>325</v>
      </c>
      <c r="H20" t="s">
        <v>326</v>
      </c>
      <c r="I20" t="s">
        <v>327</v>
      </c>
      <c r="J20" t="s">
        <v>328</v>
      </c>
      <c r="K20" t="s">
        <v>329</v>
      </c>
      <c r="L20" t="s">
        <v>330</v>
      </c>
      <c r="M20" t="s">
        <v>108</v>
      </c>
      <c r="N20" t="s">
        <v>207</v>
      </c>
      <c r="O20" t="s">
        <v>331</v>
      </c>
      <c r="P20" s="2">
        <v>44442</v>
      </c>
      <c r="Q20" s="2">
        <v>40513</v>
      </c>
      <c r="R20" t="s">
        <v>171</v>
      </c>
      <c r="S20">
        <v>9928</v>
      </c>
      <c r="T20" t="s">
        <v>332</v>
      </c>
      <c r="U20">
        <v>6</v>
      </c>
      <c r="V20">
        <v>6</v>
      </c>
      <c r="W20" t="s">
        <v>69</v>
      </c>
      <c r="X20">
        <v>1.5</v>
      </c>
      <c r="Y20" s="1">
        <v>1.5</v>
      </c>
      <c r="Z20" t="s">
        <v>190</v>
      </c>
      <c r="AA20" t="s">
        <v>333</v>
      </c>
      <c r="AB20" t="s">
        <v>334</v>
      </c>
      <c r="AC20" t="s">
        <v>335</v>
      </c>
      <c r="AD20" t="s">
        <v>267</v>
      </c>
      <c r="AE20" t="s">
        <v>336</v>
      </c>
      <c r="AF20">
        <f t="shared" si="0"/>
        <v>10</v>
      </c>
    </row>
    <row r="21" spans="1:32" x14ac:dyDescent="0.25">
      <c r="A21">
        <v>15</v>
      </c>
      <c r="B21" t="s">
        <v>337</v>
      </c>
      <c r="C21" t="s">
        <v>338</v>
      </c>
      <c r="D21" t="s">
        <v>339</v>
      </c>
      <c r="E21" t="s">
        <v>340</v>
      </c>
      <c r="F21" t="s">
        <v>341</v>
      </c>
      <c r="G21" t="s">
        <v>342</v>
      </c>
      <c r="H21" t="s">
        <v>343</v>
      </c>
      <c r="I21" t="s">
        <v>344</v>
      </c>
      <c r="J21" t="s">
        <v>345</v>
      </c>
      <c r="K21" t="s">
        <v>346</v>
      </c>
      <c r="L21" t="s">
        <v>347</v>
      </c>
      <c r="M21" t="s">
        <v>108</v>
      </c>
      <c r="N21" t="s">
        <v>109</v>
      </c>
      <c r="O21" t="s">
        <v>348</v>
      </c>
      <c r="P21" s="2">
        <v>37518</v>
      </c>
      <c r="Q21" s="2">
        <v>38410</v>
      </c>
      <c r="R21" t="s">
        <v>91</v>
      </c>
      <c r="S21">
        <v>6851</v>
      </c>
      <c r="T21" t="s">
        <v>349</v>
      </c>
      <c r="U21">
        <v>3</v>
      </c>
      <c r="V21">
        <v>3</v>
      </c>
      <c r="W21" t="s">
        <v>45</v>
      </c>
      <c r="X21">
        <v>1</v>
      </c>
      <c r="Y21" s="1">
        <v>0.75</v>
      </c>
      <c r="Z21" t="s">
        <v>151</v>
      </c>
      <c r="AA21" t="s">
        <v>350</v>
      </c>
      <c r="AB21" t="s">
        <v>351</v>
      </c>
      <c r="AC21" t="s">
        <v>352</v>
      </c>
      <c r="AD21" t="s">
        <v>155</v>
      </c>
      <c r="AE21" t="s">
        <v>353</v>
      </c>
      <c r="AF21">
        <f t="shared" si="0"/>
        <v>2</v>
      </c>
    </row>
    <row r="22" spans="1:32" x14ac:dyDescent="0.25">
      <c r="A22">
        <v>16</v>
      </c>
      <c r="B22" t="s">
        <v>354</v>
      </c>
      <c r="C22" t="s">
        <v>355</v>
      </c>
      <c r="D22" t="s">
        <v>356</v>
      </c>
      <c r="E22" t="s">
        <v>357</v>
      </c>
      <c r="F22" t="s">
        <v>358</v>
      </c>
      <c r="G22" t="s">
        <v>359</v>
      </c>
      <c r="H22" t="s">
        <v>360</v>
      </c>
      <c r="I22" t="s">
        <v>361</v>
      </c>
      <c r="J22" t="s">
        <v>362</v>
      </c>
      <c r="K22" t="s">
        <v>363</v>
      </c>
      <c r="L22" t="s">
        <v>364</v>
      </c>
      <c r="M22" t="s">
        <v>108</v>
      </c>
      <c r="N22" t="s">
        <v>109</v>
      </c>
      <c r="O22" t="s">
        <v>365</v>
      </c>
      <c r="P22" s="2">
        <v>40473</v>
      </c>
      <c r="Q22" s="2">
        <v>38817</v>
      </c>
      <c r="R22" t="s">
        <v>169</v>
      </c>
      <c r="S22">
        <v>7160</v>
      </c>
      <c r="T22" t="s">
        <v>366</v>
      </c>
      <c r="U22">
        <v>7</v>
      </c>
      <c r="V22">
        <v>7</v>
      </c>
      <c r="W22" t="s">
        <v>69</v>
      </c>
      <c r="X22">
        <v>3</v>
      </c>
      <c r="Y22" s="1">
        <v>1</v>
      </c>
      <c r="Z22" t="s">
        <v>228</v>
      </c>
      <c r="AA22" t="s">
        <v>334</v>
      </c>
      <c r="AB22" t="s">
        <v>367</v>
      </c>
      <c r="AC22" t="s">
        <v>368</v>
      </c>
      <c r="AD22" t="s">
        <v>175</v>
      </c>
      <c r="AE22" t="s">
        <v>369</v>
      </c>
      <c r="AF22">
        <f t="shared" si="0"/>
        <v>4</v>
      </c>
    </row>
    <row r="23" spans="1:32" x14ac:dyDescent="0.25">
      <c r="A23">
        <v>17</v>
      </c>
      <c r="B23" t="s">
        <v>370</v>
      </c>
      <c r="C23" t="s">
        <v>371</v>
      </c>
      <c r="D23" t="s">
        <v>372</v>
      </c>
      <c r="E23" t="s">
        <v>373</v>
      </c>
      <c r="F23" t="s">
        <v>374</v>
      </c>
      <c r="G23" t="s">
        <v>375</v>
      </c>
      <c r="H23" t="s">
        <v>376</v>
      </c>
      <c r="I23" t="s">
        <v>377</v>
      </c>
      <c r="J23" t="s">
        <v>378</v>
      </c>
      <c r="K23" t="s">
        <v>379</v>
      </c>
      <c r="L23" t="s">
        <v>380</v>
      </c>
      <c r="M23" t="s">
        <v>86</v>
      </c>
      <c r="N23" t="s">
        <v>207</v>
      </c>
      <c r="O23" t="s">
        <v>381</v>
      </c>
      <c r="P23" s="2">
        <v>43513</v>
      </c>
      <c r="Q23" s="2">
        <v>41344</v>
      </c>
      <c r="R23" t="s">
        <v>228</v>
      </c>
      <c r="S23">
        <v>5456</v>
      </c>
      <c r="T23" t="s">
        <v>382</v>
      </c>
      <c r="U23">
        <v>8</v>
      </c>
      <c r="V23">
        <v>8</v>
      </c>
      <c r="W23" t="s">
        <v>55</v>
      </c>
      <c r="X23">
        <v>2</v>
      </c>
      <c r="Y23" s="1">
        <v>2</v>
      </c>
      <c r="Z23" t="s">
        <v>210</v>
      </c>
      <c r="AA23" t="s">
        <v>383</v>
      </c>
      <c r="AB23" t="s">
        <v>384</v>
      </c>
      <c r="AC23" t="s">
        <v>385</v>
      </c>
      <c r="AD23" t="s">
        <v>386</v>
      </c>
      <c r="AE23" t="s">
        <v>387</v>
      </c>
      <c r="AF23">
        <f t="shared" si="0"/>
        <v>5</v>
      </c>
    </row>
    <row r="24" spans="1:32" x14ac:dyDescent="0.25">
      <c r="A24">
        <v>18</v>
      </c>
      <c r="B24" t="s">
        <v>388</v>
      </c>
      <c r="C24" t="s">
        <v>197</v>
      </c>
      <c r="D24" t="s">
        <v>389</v>
      </c>
      <c r="E24" t="s">
        <v>390</v>
      </c>
      <c r="F24" t="s">
        <v>391</v>
      </c>
      <c r="G24" t="s">
        <v>392</v>
      </c>
      <c r="H24" t="s">
        <v>393</v>
      </c>
      <c r="I24" t="s">
        <v>394</v>
      </c>
      <c r="J24" t="s">
        <v>395</v>
      </c>
      <c r="K24" t="s">
        <v>396</v>
      </c>
      <c r="L24" t="s">
        <v>397</v>
      </c>
      <c r="M24" t="s">
        <v>86</v>
      </c>
      <c r="N24" t="s">
        <v>87</v>
      </c>
      <c r="O24" t="s">
        <v>398</v>
      </c>
      <c r="P24" s="2">
        <v>37997</v>
      </c>
      <c r="Q24" s="2">
        <v>40948</v>
      </c>
      <c r="R24" t="s">
        <v>151</v>
      </c>
      <c r="S24">
        <v>5717</v>
      </c>
      <c r="T24" t="s">
        <v>399</v>
      </c>
      <c r="U24">
        <v>5</v>
      </c>
      <c r="V24">
        <v>5</v>
      </c>
      <c r="W24" t="s">
        <v>69</v>
      </c>
      <c r="X24">
        <v>4</v>
      </c>
      <c r="Y24" s="1">
        <v>2.5</v>
      </c>
      <c r="Z24" t="s">
        <v>171</v>
      </c>
      <c r="AA24" t="s">
        <v>152</v>
      </c>
      <c r="AB24" t="s">
        <v>400</v>
      </c>
      <c r="AC24" t="s">
        <v>401</v>
      </c>
      <c r="AD24" t="s">
        <v>95</v>
      </c>
      <c r="AE24" t="s">
        <v>402</v>
      </c>
      <c r="AF24">
        <f t="shared" si="0"/>
        <v>8</v>
      </c>
    </row>
    <row r="25" spans="1:32" x14ac:dyDescent="0.25">
      <c r="A25">
        <v>19</v>
      </c>
      <c r="B25" t="s">
        <v>403</v>
      </c>
      <c r="C25" t="s">
        <v>404</v>
      </c>
      <c r="D25" t="s">
        <v>405</v>
      </c>
      <c r="E25" t="s">
        <v>406</v>
      </c>
      <c r="F25" t="s">
        <v>407</v>
      </c>
      <c r="G25" t="s">
        <v>408</v>
      </c>
      <c r="H25" t="s">
        <v>409</v>
      </c>
      <c r="I25" t="s">
        <v>410</v>
      </c>
      <c r="J25" t="s">
        <v>411</v>
      </c>
      <c r="K25" t="s">
        <v>412</v>
      </c>
      <c r="L25" t="s">
        <v>413</v>
      </c>
      <c r="M25" t="s">
        <v>108</v>
      </c>
      <c r="N25" t="s">
        <v>109</v>
      </c>
      <c r="O25" t="s">
        <v>414</v>
      </c>
      <c r="P25" s="2">
        <v>43325</v>
      </c>
      <c r="Q25" s="2">
        <v>43559</v>
      </c>
      <c r="R25" t="s">
        <v>91</v>
      </c>
      <c r="S25">
        <v>7699</v>
      </c>
      <c r="T25" t="s">
        <v>415</v>
      </c>
      <c r="U25">
        <v>5</v>
      </c>
      <c r="V25">
        <v>5</v>
      </c>
      <c r="W25" t="s">
        <v>69</v>
      </c>
      <c r="X25">
        <v>2</v>
      </c>
      <c r="Y25" s="1">
        <v>3</v>
      </c>
      <c r="Z25" t="s">
        <v>416</v>
      </c>
      <c r="AA25" t="s">
        <v>417</v>
      </c>
      <c r="AB25" t="s">
        <v>418</v>
      </c>
      <c r="AC25" t="s">
        <v>419</v>
      </c>
      <c r="AD25" t="s">
        <v>175</v>
      </c>
      <c r="AE25" t="s">
        <v>420</v>
      </c>
      <c r="AF25">
        <f t="shared" si="0"/>
        <v>0</v>
      </c>
    </row>
    <row r="26" spans="1:32" x14ac:dyDescent="0.25">
      <c r="A26">
        <v>20</v>
      </c>
      <c r="B26" t="s">
        <v>421</v>
      </c>
      <c r="C26" t="s">
        <v>422</v>
      </c>
      <c r="D26" t="s">
        <v>423</v>
      </c>
      <c r="E26" t="s">
        <v>424</v>
      </c>
      <c r="F26" t="s">
        <v>425</v>
      </c>
      <c r="G26" t="s">
        <v>426</v>
      </c>
      <c r="H26" t="s">
        <v>427</v>
      </c>
      <c r="I26" t="s">
        <v>428</v>
      </c>
      <c r="J26" t="s">
        <v>429</v>
      </c>
      <c r="K26" t="s">
        <v>430</v>
      </c>
      <c r="L26" t="s">
        <v>431</v>
      </c>
      <c r="M26" t="s">
        <v>86</v>
      </c>
      <c r="N26" t="s">
        <v>87</v>
      </c>
      <c r="O26" t="s">
        <v>432</v>
      </c>
      <c r="P26" s="2">
        <v>39116</v>
      </c>
      <c r="Q26" s="2">
        <v>37977</v>
      </c>
      <c r="R26" t="s">
        <v>433</v>
      </c>
      <c r="S26">
        <v>8192</v>
      </c>
      <c r="T26" t="s">
        <v>434</v>
      </c>
      <c r="U26">
        <v>2</v>
      </c>
      <c r="V26">
        <v>2</v>
      </c>
      <c r="W26" t="s">
        <v>55</v>
      </c>
      <c r="X26">
        <v>1</v>
      </c>
      <c r="Y26" s="1">
        <v>1.5</v>
      </c>
      <c r="Z26" t="s">
        <v>228</v>
      </c>
      <c r="AA26" t="s">
        <v>435</v>
      </c>
      <c r="AB26" t="s">
        <v>436</v>
      </c>
      <c r="AC26" t="s">
        <v>437</v>
      </c>
      <c r="AD26" t="s">
        <v>95</v>
      </c>
      <c r="AE26" t="s">
        <v>438</v>
      </c>
      <c r="AF26">
        <f t="shared" si="0"/>
        <v>3</v>
      </c>
    </row>
    <row r="27" spans="1:32" x14ac:dyDescent="0.25">
      <c r="A27">
        <v>21</v>
      </c>
      <c r="B27" t="s">
        <v>439</v>
      </c>
      <c r="C27" t="s">
        <v>440</v>
      </c>
      <c r="D27" t="s">
        <v>441</v>
      </c>
      <c r="E27" t="s">
        <v>442</v>
      </c>
      <c r="F27" t="s">
        <v>443</v>
      </c>
      <c r="G27" t="s">
        <v>444</v>
      </c>
      <c r="H27" t="s">
        <v>445</v>
      </c>
      <c r="I27" t="s">
        <v>446</v>
      </c>
      <c r="J27" t="s">
        <v>447</v>
      </c>
      <c r="K27" t="s">
        <v>448</v>
      </c>
      <c r="L27" t="s">
        <v>449</v>
      </c>
      <c r="M27" t="s">
        <v>108</v>
      </c>
      <c r="N27" t="s">
        <v>207</v>
      </c>
      <c r="O27" t="s">
        <v>450</v>
      </c>
      <c r="P27" s="2">
        <v>40548</v>
      </c>
      <c r="Q27" s="2">
        <v>38032</v>
      </c>
      <c r="R27" t="s">
        <v>169</v>
      </c>
      <c r="S27">
        <v>8966</v>
      </c>
      <c r="T27" t="s">
        <v>451</v>
      </c>
      <c r="U27">
        <v>5</v>
      </c>
      <c r="V27">
        <v>5</v>
      </c>
      <c r="W27" t="s">
        <v>55</v>
      </c>
      <c r="X27">
        <v>3</v>
      </c>
      <c r="Y27" s="1">
        <v>1.5</v>
      </c>
      <c r="Z27" t="s">
        <v>169</v>
      </c>
      <c r="AA27" t="s">
        <v>452</v>
      </c>
      <c r="AB27" t="s">
        <v>453</v>
      </c>
      <c r="AC27" t="s">
        <v>454</v>
      </c>
      <c r="AD27" t="s">
        <v>175</v>
      </c>
      <c r="AE27" t="s">
        <v>455</v>
      </c>
      <c r="AF27">
        <f t="shared" si="0"/>
        <v>6</v>
      </c>
    </row>
    <row r="28" spans="1:32" x14ac:dyDescent="0.25">
      <c r="A28">
        <v>22</v>
      </c>
      <c r="B28" t="s">
        <v>456</v>
      </c>
      <c r="C28" t="s">
        <v>457</v>
      </c>
      <c r="D28" t="s">
        <v>458</v>
      </c>
      <c r="E28" t="s">
        <v>459</v>
      </c>
      <c r="F28" t="s">
        <v>460</v>
      </c>
      <c r="G28" t="s">
        <v>461</v>
      </c>
      <c r="H28" t="s">
        <v>462</v>
      </c>
      <c r="I28" t="s">
        <v>463</v>
      </c>
      <c r="J28" t="s">
        <v>464</v>
      </c>
      <c r="K28" t="s">
        <v>465</v>
      </c>
      <c r="L28" t="s">
        <v>466</v>
      </c>
      <c r="M28" t="s">
        <v>86</v>
      </c>
      <c r="N28" t="s">
        <v>87</v>
      </c>
      <c r="O28" t="s">
        <v>467</v>
      </c>
      <c r="P28" s="2">
        <v>42816</v>
      </c>
      <c r="Q28" s="2">
        <v>42410</v>
      </c>
      <c r="R28" t="s">
        <v>468</v>
      </c>
      <c r="S28">
        <v>4538</v>
      </c>
      <c r="T28" t="s">
        <v>469</v>
      </c>
      <c r="U28">
        <v>3</v>
      </c>
      <c r="V28">
        <v>3</v>
      </c>
      <c r="W28" t="s">
        <v>55</v>
      </c>
      <c r="X28">
        <v>4</v>
      </c>
      <c r="Y28" s="1">
        <v>0.75</v>
      </c>
      <c r="Z28" t="s">
        <v>416</v>
      </c>
      <c r="AA28" t="s">
        <v>470</v>
      </c>
      <c r="AB28" t="s">
        <v>264</v>
      </c>
      <c r="AC28" t="s">
        <v>471</v>
      </c>
      <c r="AD28" t="s">
        <v>194</v>
      </c>
      <c r="AE28" t="s">
        <v>472</v>
      </c>
      <c r="AF28">
        <f t="shared" si="0"/>
        <v>1</v>
      </c>
    </row>
    <row r="29" spans="1:32" x14ac:dyDescent="0.25">
      <c r="A29">
        <v>23</v>
      </c>
      <c r="B29" t="s">
        <v>473</v>
      </c>
      <c r="C29" t="s">
        <v>474</v>
      </c>
      <c r="D29" t="s">
        <v>475</v>
      </c>
      <c r="E29" t="s">
        <v>476</v>
      </c>
      <c r="F29" t="s">
        <v>477</v>
      </c>
      <c r="G29" t="s">
        <v>478</v>
      </c>
      <c r="H29" t="s">
        <v>479</v>
      </c>
      <c r="I29" t="s">
        <v>480</v>
      </c>
      <c r="J29" t="s">
        <v>481</v>
      </c>
      <c r="K29" t="s">
        <v>482</v>
      </c>
      <c r="L29" t="s">
        <v>483</v>
      </c>
      <c r="M29" t="s">
        <v>108</v>
      </c>
      <c r="N29" t="s">
        <v>129</v>
      </c>
      <c r="O29" t="s">
        <v>484</v>
      </c>
      <c r="P29" s="2">
        <v>37368</v>
      </c>
      <c r="Q29" s="2">
        <v>40372</v>
      </c>
      <c r="R29" t="s">
        <v>89</v>
      </c>
      <c r="S29">
        <v>5680</v>
      </c>
      <c r="T29" t="s">
        <v>485</v>
      </c>
      <c r="U29">
        <v>7</v>
      </c>
      <c r="V29">
        <v>7</v>
      </c>
      <c r="W29" t="s">
        <v>45</v>
      </c>
      <c r="X29">
        <v>3</v>
      </c>
      <c r="Y29" s="1">
        <v>0.5</v>
      </c>
      <c r="Z29" t="s">
        <v>190</v>
      </c>
      <c r="AA29" t="s">
        <v>486</v>
      </c>
      <c r="AB29" t="s">
        <v>134</v>
      </c>
      <c r="AC29" t="s">
        <v>487</v>
      </c>
      <c r="AD29" t="s">
        <v>116</v>
      </c>
      <c r="AE29" t="s">
        <v>488</v>
      </c>
      <c r="AF29">
        <f t="shared" si="0"/>
        <v>8</v>
      </c>
    </row>
    <row r="30" spans="1:32" x14ac:dyDescent="0.25">
      <c r="A30">
        <v>24</v>
      </c>
      <c r="B30" t="s">
        <v>489</v>
      </c>
      <c r="C30" t="s">
        <v>490</v>
      </c>
      <c r="D30" t="s">
        <v>491</v>
      </c>
      <c r="E30" t="s">
        <v>492</v>
      </c>
      <c r="F30" t="s">
        <v>493</v>
      </c>
      <c r="G30" t="s">
        <v>494</v>
      </c>
      <c r="H30" t="s">
        <v>495</v>
      </c>
      <c r="I30" t="s">
        <v>496</v>
      </c>
      <c r="J30" t="s">
        <v>497</v>
      </c>
      <c r="K30" t="s">
        <v>498</v>
      </c>
      <c r="L30" t="s">
        <v>499</v>
      </c>
      <c r="M30" t="s">
        <v>108</v>
      </c>
      <c r="O30" t="s">
        <v>500</v>
      </c>
      <c r="P30" s="2">
        <v>38858</v>
      </c>
      <c r="Q30" s="2">
        <v>38906</v>
      </c>
      <c r="R30" t="s">
        <v>131</v>
      </c>
      <c r="S30">
        <v>6312</v>
      </c>
      <c r="T30" t="s">
        <v>501</v>
      </c>
      <c r="U30">
        <v>4</v>
      </c>
      <c r="V30">
        <v>4</v>
      </c>
      <c r="W30" t="s">
        <v>69</v>
      </c>
      <c r="X30">
        <v>4</v>
      </c>
      <c r="Y30" s="1">
        <v>2</v>
      </c>
      <c r="Z30" t="s">
        <v>210</v>
      </c>
      <c r="AA30" t="s">
        <v>502</v>
      </c>
      <c r="AB30" t="s">
        <v>503</v>
      </c>
      <c r="AC30" t="s">
        <v>504</v>
      </c>
      <c r="AD30" t="s">
        <v>267</v>
      </c>
      <c r="AE30" t="s">
        <v>505</v>
      </c>
      <c r="AF30">
        <f t="shared" si="0"/>
        <v>0</v>
      </c>
    </row>
    <row r="31" spans="1:32" x14ac:dyDescent="0.25">
      <c r="A31">
        <v>25</v>
      </c>
      <c r="B31" t="s">
        <v>506</v>
      </c>
      <c r="C31" t="s">
        <v>507</v>
      </c>
      <c r="D31" t="s">
        <v>508</v>
      </c>
      <c r="E31" t="s">
        <v>509</v>
      </c>
      <c r="F31" t="s">
        <v>510</v>
      </c>
      <c r="G31" t="s">
        <v>511</v>
      </c>
      <c r="H31" t="s">
        <v>512</v>
      </c>
      <c r="I31" t="s">
        <v>513</v>
      </c>
      <c r="J31" t="s">
        <v>514</v>
      </c>
      <c r="K31" t="s">
        <v>515</v>
      </c>
      <c r="L31" t="s">
        <v>516</v>
      </c>
      <c r="M31" t="s">
        <v>108</v>
      </c>
      <c r="N31" t="s">
        <v>109</v>
      </c>
      <c r="O31" t="s">
        <v>517</v>
      </c>
      <c r="P31" s="2">
        <v>42539</v>
      </c>
      <c r="Q31" s="2">
        <v>38845</v>
      </c>
      <c r="R31" t="s">
        <v>171</v>
      </c>
      <c r="S31">
        <v>6529</v>
      </c>
      <c r="T31" t="s">
        <v>518</v>
      </c>
      <c r="U31">
        <v>6</v>
      </c>
      <c r="V31">
        <v>6</v>
      </c>
      <c r="W31" t="s">
        <v>55</v>
      </c>
      <c r="X31">
        <v>1</v>
      </c>
      <c r="Y31" s="1">
        <v>0.5</v>
      </c>
      <c r="Z31" t="s">
        <v>91</v>
      </c>
      <c r="AA31" t="s">
        <v>519</v>
      </c>
      <c r="AB31" t="s">
        <v>520</v>
      </c>
      <c r="AC31" t="s">
        <v>521</v>
      </c>
      <c r="AD31" t="s">
        <v>386</v>
      </c>
      <c r="AE31" t="s">
        <v>522</v>
      </c>
      <c r="AF31">
        <f t="shared" si="0"/>
        <v>10</v>
      </c>
    </row>
    <row r="32" spans="1:32" x14ac:dyDescent="0.25">
      <c r="A32">
        <v>26</v>
      </c>
      <c r="B32" t="s">
        <v>523</v>
      </c>
      <c r="C32" t="s">
        <v>524</v>
      </c>
      <c r="D32" t="s">
        <v>525</v>
      </c>
      <c r="E32" t="s">
        <v>526</v>
      </c>
      <c r="F32" t="s">
        <v>527</v>
      </c>
      <c r="G32" t="s">
        <v>528</v>
      </c>
      <c r="H32" t="s">
        <v>462</v>
      </c>
      <c r="I32" t="s">
        <v>529</v>
      </c>
      <c r="J32" t="s">
        <v>530</v>
      </c>
      <c r="K32" t="s">
        <v>531</v>
      </c>
      <c r="L32" t="s">
        <v>532</v>
      </c>
      <c r="M32" t="s">
        <v>86</v>
      </c>
      <c r="N32" t="s">
        <v>87</v>
      </c>
      <c r="O32" t="s">
        <v>533</v>
      </c>
      <c r="P32" s="2">
        <v>43607</v>
      </c>
      <c r="Q32" s="2">
        <v>38954</v>
      </c>
      <c r="R32" t="s">
        <v>112</v>
      </c>
      <c r="S32">
        <v>9114</v>
      </c>
      <c r="T32" t="s">
        <v>534</v>
      </c>
      <c r="U32">
        <v>6</v>
      </c>
      <c r="V32">
        <v>6</v>
      </c>
      <c r="W32" t="s">
        <v>55</v>
      </c>
      <c r="X32">
        <v>2</v>
      </c>
      <c r="Y32" s="1">
        <v>3</v>
      </c>
      <c r="Z32" t="s">
        <v>171</v>
      </c>
      <c r="AA32" t="s">
        <v>535</v>
      </c>
      <c r="AB32" t="s">
        <v>502</v>
      </c>
      <c r="AC32" t="s">
        <v>536</v>
      </c>
      <c r="AD32" t="s">
        <v>175</v>
      </c>
      <c r="AE32" t="s">
        <v>537</v>
      </c>
      <c r="AF32">
        <f t="shared" si="0"/>
        <v>12</v>
      </c>
    </row>
    <row r="33" spans="1:32" x14ac:dyDescent="0.25">
      <c r="A33">
        <v>27</v>
      </c>
      <c r="B33" t="s">
        <v>538</v>
      </c>
      <c r="C33" t="s">
        <v>539</v>
      </c>
      <c r="D33" t="s">
        <v>540</v>
      </c>
      <c r="E33" t="s">
        <v>541</v>
      </c>
      <c r="F33" t="s">
        <v>542</v>
      </c>
      <c r="G33" t="s">
        <v>543</v>
      </c>
      <c r="H33" t="s">
        <v>544</v>
      </c>
      <c r="I33" t="s">
        <v>545</v>
      </c>
      <c r="J33" t="s">
        <v>546</v>
      </c>
      <c r="K33" t="s">
        <v>547</v>
      </c>
      <c r="L33" t="s">
        <v>548</v>
      </c>
      <c r="M33" t="s">
        <v>86</v>
      </c>
      <c r="O33" t="s">
        <v>549</v>
      </c>
      <c r="P33" s="2">
        <v>43524</v>
      </c>
      <c r="Q33" s="2">
        <v>43470</v>
      </c>
      <c r="R33" t="s">
        <v>112</v>
      </c>
      <c r="S33">
        <v>4502</v>
      </c>
      <c r="T33" t="s">
        <v>550</v>
      </c>
      <c r="U33">
        <v>1</v>
      </c>
      <c r="V33">
        <v>1</v>
      </c>
      <c r="W33" t="s">
        <v>45</v>
      </c>
      <c r="X33">
        <v>3</v>
      </c>
      <c r="Y33" s="1">
        <v>0.75</v>
      </c>
      <c r="Z33" t="s">
        <v>169</v>
      </c>
      <c r="AA33" t="s">
        <v>551</v>
      </c>
      <c r="AB33" t="s">
        <v>552</v>
      </c>
      <c r="AC33" t="s">
        <v>553</v>
      </c>
      <c r="AD33" t="s">
        <v>155</v>
      </c>
      <c r="AE33" t="s">
        <v>554</v>
      </c>
      <c r="AF33">
        <f t="shared" si="0"/>
        <v>0</v>
      </c>
    </row>
    <row r="34" spans="1:32" x14ac:dyDescent="0.25">
      <c r="A34">
        <v>28</v>
      </c>
      <c r="B34" t="s">
        <v>555</v>
      </c>
      <c r="C34" t="s">
        <v>556</v>
      </c>
      <c r="D34" t="s">
        <v>557</v>
      </c>
      <c r="E34" t="s">
        <v>558</v>
      </c>
      <c r="F34" t="s">
        <v>559</v>
      </c>
      <c r="G34" t="s">
        <v>560</v>
      </c>
      <c r="H34" t="s">
        <v>561</v>
      </c>
      <c r="I34" t="s">
        <v>562</v>
      </c>
      <c r="J34" t="s">
        <v>563</v>
      </c>
      <c r="K34" t="s">
        <v>564</v>
      </c>
      <c r="L34" t="s">
        <v>565</v>
      </c>
      <c r="M34" t="s">
        <v>86</v>
      </c>
      <c r="N34" t="s">
        <v>87</v>
      </c>
      <c r="O34" t="s">
        <v>566</v>
      </c>
      <c r="P34" s="2">
        <v>43166</v>
      </c>
      <c r="Q34" s="2">
        <v>43303</v>
      </c>
      <c r="R34" t="s">
        <v>433</v>
      </c>
      <c r="S34">
        <v>4305</v>
      </c>
      <c r="T34" t="s">
        <v>567</v>
      </c>
      <c r="U34">
        <v>3</v>
      </c>
      <c r="V34">
        <v>3</v>
      </c>
      <c r="W34" t="s">
        <v>69</v>
      </c>
      <c r="X34">
        <v>1</v>
      </c>
      <c r="Y34" s="1">
        <v>2</v>
      </c>
      <c r="Z34" t="s">
        <v>131</v>
      </c>
      <c r="AA34" t="s">
        <v>568</v>
      </c>
      <c r="AB34" t="s">
        <v>569</v>
      </c>
      <c r="AC34" t="s">
        <v>570</v>
      </c>
      <c r="AD34" t="s">
        <v>386</v>
      </c>
      <c r="AE34" t="s">
        <v>571</v>
      </c>
      <c r="AF34">
        <f t="shared" si="0"/>
        <v>0</v>
      </c>
    </row>
    <row r="35" spans="1:32" x14ac:dyDescent="0.25">
      <c r="A35">
        <v>29</v>
      </c>
      <c r="B35" t="s">
        <v>572</v>
      </c>
      <c r="C35" t="s">
        <v>573</v>
      </c>
      <c r="D35" t="s">
        <v>574</v>
      </c>
      <c r="E35" t="s">
        <v>575</v>
      </c>
      <c r="F35" t="s">
        <v>576</v>
      </c>
      <c r="G35" t="s">
        <v>577</v>
      </c>
      <c r="H35" t="s">
        <v>578</v>
      </c>
      <c r="I35" t="s">
        <v>579</v>
      </c>
      <c r="J35" t="s">
        <v>580</v>
      </c>
      <c r="K35" t="s">
        <v>581</v>
      </c>
      <c r="L35" t="s">
        <v>582</v>
      </c>
      <c r="M35" t="s">
        <v>108</v>
      </c>
      <c r="N35" t="s">
        <v>109</v>
      </c>
      <c r="O35" t="s">
        <v>583</v>
      </c>
      <c r="P35" s="2">
        <v>39095</v>
      </c>
      <c r="Q35" s="2">
        <v>41627</v>
      </c>
      <c r="R35" t="s">
        <v>433</v>
      </c>
      <c r="S35">
        <v>9992</v>
      </c>
      <c r="T35" t="s">
        <v>584</v>
      </c>
      <c r="U35">
        <v>6</v>
      </c>
      <c r="V35">
        <v>6</v>
      </c>
      <c r="W35" t="s">
        <v>55</v>
      </c>
      <c r="X35">
        <v>3</v>
      </c>
      <c r="Y35" s="1">
        <v>1</v>
      </c>
      <c r="Z35" t="s">
        <v>151</v>
      </c>
      <c r="AA35" t="s">
        <v>191</v>
      </c>
      <c r="AB35" t="s">
        <v>585</v>
      </c>
      <c r="AC35" t="s">
        <v>586</v>
      </c>
      <c r="AD35" t="s">
        <v>194</v>
      </c>
      <c r="AE35" t="s">
        <v>587</v>
      </c>
      <c r="AF35">
        <f t="shared" si="0"/>
        <v>6</v>
      </c>
    </row>
    <row r="36" spans="1:32" x14ac:dyDescent="0.25">
      <c r="A36">
        <v>30</v>
      </c>
      <c r="B36" t="s">
        <v>588</v>
      </c>
      <c r="C36" t="s">
        <v>589</v>
      </c>
      <c r="D36" t="s">
        <v>590</v>
      </c>
      <c r="E36" t="s">
        <v>591</v>
      </c>
      <c r="F36" t="s">
        <v>592</v>
      </c>
      <c r="G36" t="s">
        <v>593</v>
      </c>
      <c r="H36" t="s">
        <v>594</v>
      </c>
      <c r="I36" t="s">
        <v>595</v>
      </c>
      <c r="J36" t="s">
        <v>596</v>
      </c>
      <c r="K36" t="s">
        <v>597</v>
      </c>
      <c r="L36" t="s">
        <v>598</v>
      </c>
      <c r="M36" t="s">
        <v>108</v>
      </c>
      <c r="N36" t="s">
        <v>207</v>
      </c>
      <c r="O36" t="s">
        <v>599</v>
      </c>
      <c r="P36" s="2">
        <v>41308</v>
      </c>
      <c r="Q36" s="2">
        <v>37541</v>
      </c>
      <c r="R36" t="s">
        <v>433</v>
      </c>
      <c r="S36">
        <v>7548</v>
      </c>
      <c r="T36" t="s">
        <v>600</v>
      </c>
      <c r="U36">
        <v>3</v>
      </c>
      <c r="V36">
        <v>3</v>
      </c>
      <c r="W36" t="s">
        <v>55</v>
      </c>
      <c r="X36">
        <v>1</v>
      </c>
      <c r="Y36" s="1">
        <v>2.5</v>
      </c>
      <c r="Z36" t="s">
        <v>416</v>
      </c>
      <c r="AA36" t="s">
        <v>601</v>
      </c>
      <c r="AB36" t="s">
        <v>602</v>
      </c>
      <c r="AC36" t="s">
        <v>603</v>
      </c>
      <c r="AD36" t="s">
        <v>95</v>
      </c>
      <c r="AE36" t="s">
        <v>604</v>
      </c>
      <c r="AF36">
        <f t="shared" si="0"/>
        <v>10</v>
      </c>
    </row>
    <row r="37" spans="1:32" x14ac:dyDescent="0.25">
      <c r="A37">
        <v>31</v>
      </c>
      <c r="B37" t="s">
        <v>605</v>
      </c>
      <c r="C37" t="s">
        <v>606</v>
      </c>
      <c r="D37" t="s">
        <v>607</v>
      </c>
      <c r="E37" t="s">
        <v>608</v>
      </c>
      <c r="F37" t="s">
        <v>609</v>
      </c>
      <c r="G37" t="s">
        <v>610</v>
      </c>
      <c r="H37" t="s">
        <v>611</v>
      </c>
      <c r="I37" t="s">
        <v>612</v>
      </c>
      <c r="J37" t="s">
        <v>613</v>
      </c>
      <c r="K37" t="s">
        <v>614</v>
      </c>
      <c r="L37" t="s">
        <v>615</v>
      </c>
      <c r="M37" t="s">
        <v>108</v>
      </c>
      <c r="N37" t="s">
        <v>129</v>
      </c>
      <c r="O37" t="s">
        <v>616</v>
      </c>
      <c r="P37" s="2">
        <v>38329</v>
      </c>
      <c r="Q37" s="2">
        <v>43802</v>
      </c>
      <c r="R37" t="s">
        <v>210</v>
      </c>
      <c r="S37">
        <v>3938</v>
      </c>
      <c r="T37" t="s">
        <v>617</v>
      </c>
      <c r="U37">
        <v>3</v>
      </c>
      <c r="V37">
        <v>3</v>
      </c>
      <c r="W37" t="s">
        <v>45</v>
      </c>
      <c r="X37">
        <v>1.5</v>
      </c>
      <c r="Y37" s="1">
        <v>2.5</v>
      </c>
      <c r="Z37" t="s">
        <v>151</v>
      </c>
      <c r="AA37" t="s">
        <v>618</v>
      </c>
      <c r="AB37" t="s">
        <v>619</v>
      </c>
      <c r="AC37" t="s">
        <v>620</v>
      </c>
      <c r="AD37" t="s">
        <v>136</v>
      </c>
      <c r="AE37" t="s">
        <v>621</v>
      </c>
      <c r="AF37">
        <f t="shared" si="0"/>
        <v>14</v>
      </c>
    </row>
    <row r="38" spans="1:32" x14ac:dyDescent="0.25">
      <c r="A38">
        <v>32</v>
      </c>
      <c r="B38" t="s">
        <v>622</v>
      </c>
      <c r="C38" t="s">
        <v>623</v>
      </c>
      <c r="D38" t="s">
        <v>624</v>
      </c>
      <c r="E38" t="s">
        <v>625</v>
      </c>
      <c r="F38" t="s">
        <v>626</v>
      </c>
      <c r="G38" t="s">
        <v>627</v>
      </c>
      <c r="H38" t="s">
        <v>628</v>
      </c>
      <c r="I38" t="s">
        <v>629</v>
      </c>
      <c r="J38" t="s">
        <v>630</v>
      </c>
      <c r="K38" t="s">
        <v>631</v>
      </c>
      <c r="L38" t="s">
        <v>632</v>
      </c>
      <c r="M38" t="s">
        <v>108</v>
      </c>
      <c r="O38" t="s">
        <v>633</v>
      </c>
      <c r="P38" s="2">
        <v>40483</v>
      </c>
      <c r="Q38" s="2">
        <v>42088</v>
      </c>
      <c r="R38" t="s">
        <v>416</v>
      </c>
      <c r="S38">
        <v>4251</v>
      </c>
      <c r="T38" t="s">
        <v>634</v>
      </c>
      <c r="U38">
        <v>1</v>
      </c>
      <c r="V38">
        <v>1</v>
      </c>
      <c r="W38" t="s">
        <v>69</v>
      </c>
      <c r="X38">
        <v>1</v>
      </c>
      <c r="Y38" s="1">
        <v>1</v>
      </c>
      <c r="Z38" t="s">
        <v>635</v>
      </c>
      <c r="AA38" t="s">
        <v>636</v>
      </c>
      <c r="AB38" t="s">
        <v>602</v>
      </c>
      <c r="AC38" t="s">
        <v>637</v>
      </c>
      <c r="AD38" t="s">
        <v>386</v>
      </c>
      <c r="AE38" t="s">
        <v>638</v>
      </c>
      <c r="AF38">
        <f t="shared" si="0"/>
        <v>4</v>
      </c>
    </row>
    <row r="39" spans="1:32" x14ac:dyDescent="0.25">
      <c r="A39">
        <v>33</v>
      </c>
      <c r="B39" t="s">
        <v>639</v>
      </c>
      <c r="C39" t="s">
        <v>640</v>
      </c>
      <c r="D39" t="s">
        <v>641</v>
      </c>
      <c r="E39" t="s">
        <v>642</v>
      </c>
      <c r="F39" t="s">
        <v>643</v>
      </c>
      <c r="G39" t="s">
        <v>644</v>
      </c>
      <c r="H39" t="s">
        <v>645</v>
      </c>
      <c r="I39" t="s">
        <v>646</v>
      </c>
      <c r="J39" t="s">
        <v>647</v>
      </c>
      <c r="K39" t="s">
        <v>648</v>
      </c>
      <c r="L39" t="s">
        <v>649</v>
      </c>
      <c r="M39" t="s">
        <v>108</v>
      </c>
      <c r="O39" t="s">
        <v>650</v>
      </c>
      <c r="P39" s="2">
        <v>38807</v>
      </c>
      <c r="Q39" s="2">
        <v>43662</v>
      </c>
      <c r="R39" t="s">
        <v>228</v>
      </c>
      <c r="S39">
        <v>5149</v>
      </c>
      <c r="T39" t="s">
        <v>651</v>
      </c>
      <c r="U39">
        <v>1</v>
      </c>
      <c r="V39">
        <v>1</v>
      </c>
      <c r="W39" t="s">
        <v>69</v>
      </c>
      <c r="X39">
        <v>3</v>
      </c>
      <c r="Y39" s="1">
        <v>0.5</v>
      </c>
      <c r="Z39" t="s">
        <v>131</v>
      </c>
      <c r="AA39" t="s">
        <v>519</v>
      </c>
      <c r="AB39" t="s">
        <v>551</v>
      </c>
      <c r="AC39" t="s">
        <v>652</v>
      </c>
      <c r="AD39" t="s">
        <v>95</v>
      </c>
      <c r="AE39" t="s">
        <v>653</v>
      </c>
      <c r="AF39">
        <f t="shared" si="0"/>
        <v>13</v>
      </c>
    </row>
    <row r="40" spans="1:32" x14ac:dyDescent="0.25">
      <c r="A40">
        <v>34</v>
      </c>
      <c r="B40" t="s">
        <v>97</v>
      </c>
      <c r="C40" t="s">
        <v>654</v>
      </c>
      <c r="D40" t="s">
        <v>655</v>
      </c>
      <c r="E40" t="s">
        <v>656</v>
      </c>
      <c r="F40" t="s">
        <v>657</v>
      </c>
      <c r="G40" t="s">
        <v>658</v>
      </c>
      <c r="H40" t="s">
        <v>659</v>
      </c>
      <c r="I40" t="s">
        <v>660</v>
      </c>
      <c r="J40" t="s">
        <v>661</v>
      </c>
      <c r="K40" t="s">
        <v>662</v>
      </c>
      <c r="L40" t="s">
        <v>663</v>
      </c>
      <c r="M40" t="s">
        <v>86</v>
      </c>
      <c r="N40" t="s">
        <v>87</v>
      </c>
      <c r="O40" t="s">
        <v>664</v>
      </c>
      <c r="P40" s="2">
        <v>38110</v>
      </c>
      <c r="Q40" s="2">
        <v>40827</v>
      </c>
      <c r="R40" t="s">
        <v>151</v>
      </c>
      <c r="S40">
        <v>7636</v>
      </c>
      <c r="T40" t="s">
        <v>665</v>
      </c>
      <c r="U40">
        <v>2</v>
      </c>
      <c r="V40">
        <v>2</v>
      </c>
      <c r="W40" t="s">
        <v>45</v>
      </c>
      <c r="X40">
        <v>1</v>
      </c>
      <c r="Y40" s="1">
        <v>2</v>
      </c>
      <c r="Z40" t="s">
        <v>468</v>
      </c>
      <c r="AA40" t="s">
        <v>666</v>
      </c>
      <c r="AB40" t="s">
        <v>667</v>
      </c>
      <c r="AC40" t="s">
        <v>668</v>
      </c>
      <c r="AD40" t="s">
        <v>116</v>
      </c>
      <c r="AE40" t="s">
        <v>669</v>
      </c>
      <c r="AF40">
        <f t="shared" si="0"/>
        <v>7</v>
      </c>
    </row>
    <row r="41" spans="1:32" x14ac:dyDescent="0.25">
      <c r="A41">
        <v>35</v>
      </c>
      <c r="B41" t="s">
        <v>622</v>
      </c>
      <c r="C41" t="s">
        <v>670</v>
      </c>
      <c r="D41" t="s">
        <v>671</v>
      </c>
      <c r="E41" t="s">
        <v>672</v>
      </c>
      <c r="F41" t="s">
        <v>673</v>
      </c>
      <c r="G41" t="s">
        <v>674</v>
      </c>
      <c r="H41" t="s">
        <v>675</v>
      </c>
      <c r="I41" t="s">
        <v>676</v>
      </c>
      <c r="J41" t="s">
        <v>677</v>
      </c>
      <c r="K41" t="s">
        <v>678</v>
      </c>
      <c r="L41" t="s">
        <v>679</v>
      </c>
      <c r="M41" t="s">
        <v>108</v>
      </c>
      <c r="N41" t="s">
        <v>207</v>
      </c>
      <c r="O41" t="s">
        <v>680</v>
      </c>
      <c r="P41" s="2">
        <v>38497</v>
      </c>
      <c r="Q41" s="2">
        <v>39593</v>
      </c>
      <c r="R41" t="s">
        <v>228</v>
      </c>
      <c r="S41">
        <v>3122</v>
      </c>
      <c r="T41" t="s">
        <v>681</v>
      </c>
      <c r="U41">
        <v>6</v>
      </c>
      <c r="V41">
        <v>6</v>
      </c>
      <c r="W41" t="s">
        <v>45</v>
      </c>
      <c r="X41">
        <v>1</v>
      </c>
      <c r="Y41" s="1">
        <v>2</v>
      </c>
      <c r="Z41" t="s">
        <v>263</v>
      </c>
      <c r="AA41" t="s">
        <v>682</v>
      </c>
      <c r="AB41" t="s">
        <v>683</v>
      </c>
      <c r="AC41" t="s">
        <v>684</v>
      </c>
      <c r="AD41" t="s">
        <v>155</v>
      </c>
      <c r="AE41" t="s">
        <v>685</v>
      </c>
      <c r="AF41">
        <f t="shared" si="0"/>
        <v>3</v>
      </c>
    </row>
    <row r="42" spans="1:32" x14ac:dyDescent="0.25">
      <c r="A42">
        <v>36</v>
      </c>
      <c r="B42" t="s">
        <v>686</v>
      </c>
      <c r="C42" t="s">
        <v>687</v>
      </c>
      <c r="D42" t="s">
        <v>688</v>
      </c>
      <c r="E42" t="s">
        <v>689</v>
      </c>
      <c r="F42" t="s">
        <v>690</v>
      </c>
      <c r="G42" t="s">
        <v>691</v>
      </c>
      <c r="H42" t="s">
        <v>326</v>
      </c>
      <c r="I42" t="s">
        <v>692</v>
      </c>
      <c r="J42" t="s">
        <v>693</v>
      </c>
      <c r="K42" t="s">
        <v>694</v>
      </c>
      <c r="L42" t="s">
        <v>695</v>
      </c>
      <c r="M42" t="s">
        <v>86</v>
      </c>
      <c r="N42" t="s">
        <v>87</v>
      </c>
      <c r="O42" t="s">
        <v>696</v>
      </c>
      <c r="P42" s="2">
        <v>37258</v>
      </c>
      <c r="Q42" s="2">
        <v>37983</v>
      </c>
      <c r="R42" t="s">
        <v>112</v>
      </c>
      <c r="S42">
        <v>5567</v>
      </c>
      <c r="T42" t="s">
        <v>697</v>
      </c>
      <c r="U42">
        <v>2</v>
      </c>
      <c r="V42">
        <v>2</v>
      </c>
      <c r="W42" t="s">
        <v>69</v>
      </c>
      <c r="X42">
        <v>1</v>
      </c>
      <c r="Y42" s="1">
        <v>0.5</v>
      </c>
      <c r="Z42" t="s">
        <v>169</v>
      </c>
      <c r="AA42" t="s">
        <v>698</v>
      </c>
      <c r="AB42" t="s">
        <v>316</v>
      </c>
      <c r="AC42" t="s">
        <v>699</v>
      </c>
      <c r="AD42" t="s">
        <v>155</v>
      </c>
      <c r="AE42" t="s">
        <v>700</v>
      </c>
      <c r="AF42">
        <f t="shared" si="0"/>
        <v>1</v>
      </c>
    </row>
    <row r="43" spans="1:32" x14ac:dyDescent="0.25">
      <c r="A43">
        <v>37</v>
      </c>
      <c r="B43" t="s">
        <v>701</v>
      </c>
      <c r="C43" t="s">
        <v>702</v>
      </c>
      <c r="D43" t="s">
        <v>703</v>
      </c>
      <c r="E43" t="s">
        <v>704</v>
      </c>
      <c r="F43" t="s">
        <v>705</v>
      </c>
      <c r="G43" t="s">
        <v>706</v>
      </c>
      <c r="H43" t="s">
        <v>707</v>
      </c>
      <c r="I43" t="s">
        <v>708</v>
      </c>
      <c r="J43" t="s">
        <v>709</v>
      </c>
      <c r="K43" t="s">
        <v>710</v>
      </c>
      <c r="L43" t="s">
        <v>711</v>
      </c>
      <c r="M43" t="s">
        <v>86</v>
      </c>
      <c r="N43" t="s">
        <v>87</v>
      </c>
      <c r="O43" t="s">
        <v>712</v>
      </c>
      <c r="P43" s="2">
        <v>39142</v>
      </c>
      <c r="Q43" s="2">
        <v>44366</v>
      </c>
      <c r="R43" t="s">
        <v>171</v>
      </c>
      <c r="S43">
        <v>4796</v>
      </c>
      <c r="T43" t="s">
        <v>713</v>
      </c>
      <c r="U43">
        <v>5</v>
      </c>
      <c r="V43">
        <v>5</v>
      </c>
      <c r="W43" t="s">
        <v>55</v>
      </c>
      <c r="X43">
        <v>2</v>
      </c>
      <c r="Y43" s="1">
        <v>1.5</v>
      </c>
      <c r="Z43" t="s">
        <v>112</v>
      </c>
      <c r="AA43" t="s">
        <v>92</v>
      </c>
      <c r="AB43" t="s">
        <v>246</v>
      </c>
      <c r="AC43" t="s">
        <v>714</v>
      </c>
      <c r="AD43" t="s">
        <v>155</v>
      </c>
      <c r="AE43" t="s">
        <v>715</v>
      </c>
      <c r="AF43">
        <f t="shared" si="0"/>
        <v>14</v>
      </c>
    </row>
    <row r="44" spans="1:32" x14ac:dyDescent="0.25">
      <c r="A44">
        <v>38</v>
      </c>
      <c r="B44" t="s">
        <v>716</v>
      </c>
      <c r="C44" t="s">
        <v>717</v>
      </c>
      <c r="D44" t="s">
        <v>718</v>
      </c>
      <c r="E44" t="s">
        <v>719</v>
      </c>
      <c r="F44" t="s">
        <v>720</v>
      </c>
      <c r="G44" t="s">
        <v>721</v>
      </c>
      <c r="H44" t="s">
        <v>722</v>
      </c>
      <c r="I44" t="s">
        <v>723</v>
      </c>
      <c r="J44" t="s">
        <v>724</v>
      </c>
      <c r="K44" t="s">
        <v>725</v>
      </c>
      <c r="L44" t="s">
        <v>726</v>
      </c>
      <c r="M44" t="s">
        <v>86</v>
      </c>
      <c r="N44" t="s">
        <v>207</v>
      </c>
      <c r="O44" t="s">
        <v>727</v>
      </c>
      <c r="P44" s="2">
        <v>39388</v>
      </c>
      <c r="Q44" s="2">
        <v>41271</v>
      </c>
      <c r="R44" t="s">
        <v>112</v>
      </c>
      <c r="S44">
        <v>3400</v>
      </c>
      <c r="T44" t="s">
        <v>728</v>
      </c>
      <c r="U44">
        <v>5</v>
      </c>
      <c r="V44">
        <v>5</v>
      </c>
      <c r="W44" t="s">
        <v>69</v>
      </c>
      <c r="X44">
        <v>3</v>
      </c>
      <c r="Y44" s="1">
        <v>2</v>
      </c>
      <c r="Z44" t="s">
        <v>263</v>
      </c>
      <c r="AA44" t="s">
        <v>729</v>
      </c>
      <c r="AB44" t="s">
        <v>730</v>
      </c>
      <c r="AC44" t="s">
        <v>731</v>
      </c>
      <c r="AD44" t="s">
        <v>136</v>
      </c>
      <c r="AE44" t="s">
        <v>732</v>
      </c>
      <c r="AF44">
        <f t="shared" si="0"/>
        <v>5</v>
      </c>
    </row>
    <row r="45" spans="1:32" x14ac:dyDescent="0.25">
      <c r="A45">
        <v>39</v>
      </c>
      <c r="B45" t="s">
        <v>321</v>
      </c>
      <c r="C45" t="s">
        <v>733</v>
      </c>
      <c r="D45" t="s">
        <v>734</v>
      </c>
      <c r="E45" t="s">
        <v>735</v>
      </c>
      <c r="F45" t="s">
        <v>736</v>
      </c>
      <c r="G45" t="s">
        <v>737</v>
      </c>
      <c r="H45" t="s">
        <v>738</v>
      </c>
      <c r="I45" t="s">
        <v>739</v>
      </c>
      <c r="J45" t="s">
        <v>740</v>
      </c>
      <c r="K45" t="s">
        <v>741</v>
      </c>
      <c r="L45" t="s">
        <v>742</v>
      </c>
      <c r="M45" t="s">
        <v>86</v>
      </c>
      <c r="N45" t="s">
        <v>87</v>
      </c>
      <c r="O45" t="s">
        <v>743</v>
      </c>
      <c r="P45" s="2">
        <v>44390</v>
      </c>
      <c r="Q45" s="2">
        <v>43195</v>
      </c>
      <c r="R45" t="s">
        <v>151</v>
      </c>
      <c r="S45">
        <v>8892</v>
      </c>
      <c r="T45" t="s">
        <v>744</v>
      </c>
      <c r="U45">
        <v>3</v>
      </c>
      <c r="V45">
        <v>3</v>
      </c>
      <c r="W45" t="s">
        <v>45</v>
      </c>
      <c r="X45">
        <v>2</v>
      </c>
      <c r="Y45" s="1">
        <v>3</v>
      </c>
      <c r="Z45" t="s">
        <v>131</v>
      </c>
      <c r="AA45" t="s">
        <v>317</v>
      </c>
      <c r="AB45" t="s">
        <v>745</v>
      </c>
      <c r="AC45" t="s">
        <v>746</v>
      </c>
      <c r="AD45" t="s">
        <v>136</v>
      </c>
      <c r="AE45" t="s">
        <v>747</v>
      </c>
      <c r="AF45">
        <f t="shared" si="0"/>
        <v>3</v>
      </c>
    </row>
    <row r="46" spans="1:32" x14ac:dyDescent="0.25">
      <c r="A46">
        <v>40</v>
      </c>
      <c r="B46" t="s">
        <v>748</v>
      </c>
      <c r="C46" t="s">
        <v>749</v>
      </c>
      <c r="D46" t="s">
        <v>750</v>
      </c>
      <c r="E46" t="s">
        <v>751</v>
      </c>
      <c r="F46" t="s">
        <v>752</v>
      </c>
      <c r="G46" t="s">
        <v>80</v>
      </c>
      <c r="H46" t="s">
        <v>753</v>
      </c>
      <c r="I46" t="s">
        <v>754</v>
      </c>
      <c r="J46" t="s">
        <v>755</v>
      </c>
      <c r="K46" t="s">
        <v>756</v>
      </c>
      <c r="L46" t="s">
        <v>757</v>
      </c>
      <c r="M46" t="s">
        <v>108</v>
      </c>
      <c r="N46" t="s">
        <v>129</v>
      </c>
      <c r="O46" t="s">
        <v>758</v>
      </c>
      <c r="P46" s="2">
        <v>37313</v>
      </c>
      <c r="Q46" s="2">
        <v>42035</v>
      </c>
      <c r="R46" t="s">
        <v>263</v>
      </c>
      <c r="S46">
        <v>3214</v>
      </c>
      <c r="T46" t="s">
        <v>759</v>
      </c>
      <c r="U46">
        <v>8</v>
      </c>
      <c r="V46">
        <v>8</v>
      </c>
      <c r="W46" t="s">
        <v>45</v>
      </c>
      <c r="X46">
        <v>2</v>
      </c>
      <c r="Y46" s="1">
        <v>2</v>
      </c>
      <c r="Z46" t="s">
        <v>468</v>
      </c>
      <c r="AA46" t="s">
        <v>760</v>
      </c>
      <c r="AB46" t="s">
        <v>761</v>
      </c>
      <c r="AC46" t="s">
        <v>762</v>
      </c>
      <c r="AD46" t="s">
        <v>116</v>
      </c>
      <c r="AE46" t="s">
        <v>763</v>
      </c>
      <c r="AF46">
        <f t="shared" si="0"/>
        <v>12</v>
      </c>
    </row>
    <row r="47" spans="1:32" x14ac:dyDescent="0.25">
      <c r="A47">
        <v>41</v>
      </c>
      <c r="B47" t="s">
        <v>764</v>
      </c>
      <c r="C47" t="s">
        <v>765</v>
      </c>
      <c r="D47" t="s">
        <v>766</v>
      </c>
      <c r="E47" t="s">
        <v>767</v>
      </c>
      <c r="F47" t="s">
        <v>768</v>
      </c>
      <c r="G47" t="s">
        <v>769</v>
      </c>
      <c r="H47" t="s">
        <v>675</v>
      </c>
      <c r="I47" t="s">
        <v>770</v>
      </c>
      <c r="J47" t="s">
        <v>771</v>
      </c>
      <c r="K47" t="s">
        <v>772</v>
      </c>
      <c r="L47" t="s">
        <v>773</v>
      </c>
      <c r="M47" t="s">
        <v>86</v>
      </c>
      <c r="O47" t="s">
        <v>774</v>
      </c>
      <c r="P47" s="2">
        <v>39681</v>
      </c>
      <c r="Q47" s="2">
        <v>41843</v>
      </c>
      <c r="R47" t="s">
        <v>131</v>
      </c>
      <c r="S47">
        <v>5440</v>
      </c>
      <c r="T47" t="s">
        <v>775</v>
      </c>
      <c r="U47">
        <v>2</v>
      </c>
      <c r="V47">
        <v>2</v>
      </c>
      <c r="W47" t="s">
        <v>45</v>
      </c>
      <c r="X47">
        <v>4</v>
      </c>
      <c r="Y47" s="1">
        <v>1.5</v>
      </c>
      <c r="Z47" t="s">
        <v>635</v>
      </c>
      <c r="AA47" t="s">
        <v>133</v>
      </c>
      <c r="AB47" t="s">
        <v>776</v>
      </c>
      <c r="AC47" t="s">
        <v>777</v>
      </c>
      <c r="AD47" t="s">
        <v>116</v>
      </c>
      <c r="AE47" t="s">
        <v>778</v>
      </c>
      <c r="AF47">
        <f t="shared" si="0"/>
        <v>5</v>
      </c>
    </row>
    <row r="48" spans="1:32" x14ac:dyDescent="0.25">
      <c r="A48">
        <v>42</v>
      </c>
      <c r="B48" t="s">
        <v>779</v>
      </c>
      <c r="C48" t="s">
        <v>780</v>
      </c>
      <c r="D48" t="s">
        <v>781</v>
      </c>
      <c r="E48" t="s">
        <v>782</v>
      </c>
      <c r="F48" t="s">
        <v>783</v>
      </c>
      <c r="G48" t="s">
        <v>784</v>
      </c>
      <c r="H48" t="s">
        <v>785</v>
      </c>
      <c r="I48" t="s">
        <v>786</v>
      </c>
      <c r="J48" t="s">
        <v>787</v>
      </c>
      <c r="K48" t="s">
        <v>788</v>
      </c>
      <c r="L48" t="s">
        <v>789</v>
      </c>
      <c r="M48" t="s">
        <v>108</v>
      </c>
      <c r="O48" t="s">
        <v>790</v>
      </c>
      <c r="P48" s="2">
        <v>37319</v>
      </c>
      <c r="Q48" s="2">
        <v>41756</v>
      </c>
      <c r="R48" t="s">
        <v>468</v>
      </c>
      <c r="S48">
        <v>6871</v>
      </c>
      <c r="T48" t="s">
        <v>791</v>
      </c>
      <c r="U48">
        <v>2</v>
      </c>
      <c r="V48">
        <v>2</v>
      </c>
      <c r="W48" t="s">
        <v>69</v>
      </c>
      <c r="X48">
        <v>2</v>
      </c>
      <c r="Y48" s="1">
        <v>3</v>
      </c>
      <c r="Z48" t="s">
        <v>171</v>
      </c>
      <c r="AA48" t="s">
        <v>299</v>
      </c>
      <c r="AB48" t="s">
        <v>792</v>
      </c>
      <c r="AC48" t="s">
        <v>793</v>
      </c>
      <c r="AD48" t="s">
        <v>136</v>
      </c>
      <c r="AE48" t="s">
        <v>794</v>
      </c>
      <c r="AF48">
        <f t="shared" si="0"/>
        <v>12</v>
      </c>
    </row>
    <row r="49" spans="1:32" x14ac:dyDescent="0.25">
      <c r="A49">
        <v>43</v>
      </c>
      <c r="B49" t="s">
        <v>795</v>
      </c>
      <c r="C49" t="s">
        <v>796</v>
      </c>
      <c r="D49" t="s">
        <v>797</v>
      </c>
      <c r="E49" t="s">
        <v>798</v>
      </c>
      <c r="F49" t="s">
        <v>799</v>
      </c>
      <c r="G49" t="s">
        <v>800</v>
      </c>
      <c r="H49" t="s">
        <v>250</v>
      </c>
      <c r="I49" t="s">
        <v>801</v>
      </c>
      <c r="J49" t="s">
        <v>802</v>
      </c>
      <c r="K49" t="s">
        <v>803</v>
      </c>
      <c r="L49" t="s">
        <v>804</v>
      </c>
      <c r="M49" t="s">
        <v>108</v>
      </c>
      <c r="O49" t="s">
        <v>805</v>
      </c>
      <c r="P49" s="2">
        <v>42525</v>
      </c>
      <c r="Q49" s="2">
        <v>43231</v>
      </c>
      <c r="R49" t="s">
        <v>635</v>
      </c>
      <c r="S49">
        <v>6851</v>
      </c>
      <c r="T49" t="s">
        <v>806</v>
      </c>
      <c r="U49">
        <v>2</v>
      </c>
      <c r="V49">
        <v>2</v>
      </c>
      <c r="W49" t="s">
        <v>45</v>
      </c>
      <c r="X49">
        <v>4</v>
      </c>
      <c r="Y49" s="1">
        <v>0.5</v>
      </c>
      <c r="Z49" t="s">
        <v>169</v>
      </c>
      <c r="AA49" t="s">
        <v>807</v>
      </c>
      <c r="AB49" t="s">
        <v>808</v>
      </c>
      <c r="AC49" t="s">
        <v>809</v>
      </c>
      <c r="AD49" t="s">
        <v>95</v>
      </c>
      <c r="AE49" t="s">
        <v>810</v>
      </c>
      <c r="AF49">
        <f t="shared" si="0"/>
        <v>1</v>
      </c>
    </row>
    <row r="50" spans="1:32" x14ac:dyDescent="0.25">
      <c r="A50">
        <v>44</v>
      </c>
      <c r="B50" t="s">
        <v>811</v>
      </c>
      <c r="C50" t="s">
        <v>812</v>
      </c>
      <c r="D50" t="s">
        <v>813</v>
      </c>
      <c r="E50" t="s">
        <v>814</v>
      </c>
      <c r="F50" t="s">
        <v>815</v>
      </c>
      <c r="G50" t="s">
        <v>816</v>
      </c>
      <c r="H50" t="s">
        <v>512</v>
      </c>
      <c r="I50" t="s">
        <v>817</v>
      </c>
      <c r="J50" t="s">
        <v>818</v>
      </c>
      <c r="K50" t="s">
        <v>819</v>
      </c>
      <c r="L50" t="s">
        <v>820</v>
      </c>
      <c r="M50" t="s">
        <v>108</v>
      </c>
      <c r="N50" t="s">
        <v>129</v>
      </c>
      <c r="O50" t="s">
        <v>821</v>
      </c>
      <c r="P50" s="2">
        <v>38856</v>
      </c>
      <c r="Q50" s="2">
        <v>41602</v>
      </c>
      <c r="R50" t="s">
        <v>91</v>
      </c>
      <c r="S50">
        <v>7394</v>
      </c>
      <c r="T50" t="s">
        <v>822</v>
      </c>
      <c r="U50">
        <v>1</v>
      </c>
      <c r="V50">
        <v>1</v>
      </c>
      <c r="W50" t="s">
        <v>45</v>
      </c>
      <c r="X50">
        <v>1</v>
      </c>
      <c r="Y50" s="1">
        <v>1</v>
      </c>
      <c r="Z50" t="s">
        <v>228</v>
      </c>
      <c r="AA50" t="s">
        <v>618</v>
      </c>
      <c r="AB50" t="s">
        <v>823</v>
      </c>
      <c r="AC50" t="s">
        <v>824</v>
      </c>
      <c r="AD50" t="s">
        <v>194</v>
      </c>
      <c r="AE50" t="s">
        <v>825</v>
      </c>
      <c r="AF50">
        <f t="shared" si="0"/>
        <v>7</v>
      </c>
    </row>
    <row r="51" spans="1:32" x14ac:dyDescent="0.25">
      <c r="A51">
        <v>45</v>
      </c>
      <c r="B51" t="s">
        <v>826</v>
      </c>
      <c r="C51" t="s">
        <v>827</v>
      </c>
      <c r="D51" t="s">
        <v>688</v>
      </c>
      <c r="E51" t="s">
        <v>828</v>
      </c>
      <c r="F51" t="s">
        <v>829</v>
      </c>
      <c r="G51" t="s">
        <v>830</v>
      </c>
      <c r="H51" t="s">
        <v>831</v>
      </c>
      <c r="I51" t="s">
        <v>832</v>
      </c>
      <c r="J51" t="s">
        <v>833</v>
      </c>
      <c r="K51" t="s">
        <v>834</v>
      </c>
      <c r="L51" t="s">
        <v>835</v>
      </c>
      <c r="M51" t="s">
        <v>108</v>
      </c>
      <c r="N51" t="s">
        <v>207</v>
      </c>
      <c r="O51" t="s">
        <v>836</v>
      </c>
      <c r="P51" s="2">
        <v>43205</v>
      </c>
      <c r="Q51" s="2">
        <v>38329</v>
      </c>
      <c r="R51" t="s">
        <v>263</v>
      </c>
      <c r="S51">
        <v>4339</v>
      </c>
      <c r="T51" t="s">
        <v>837</v>
      </c>
      <c r="U51">
        <v>9</v>
      </c>
      <c r="V51">
        <v>9</v>
      </c>
      <c r="W51" t="s">
        <v>69</v>
      </c>
      <c r="X51">
        <v>4</v>
      </c>
      <c r="Y51" s="1">
        <v>3</v>
      </c>
      <c r="Z51" t="s">
        <v>433</v>
      </c>
      <c r="AA51" t="s">
        <v>838</v>
      </c>
      <c r="AB51" t="s">
        <v>839</v>
      </c>
      <c r="AC51" t="s">
        <v>840</v>
      </c>
      <c r="AD51" t="s">
        <v>386</v>
      </c>
      <c r="AE51" t="s">
        <v>841</v>
      </c>
      <c r="AF51">
        <f t="shared" si="0"/>
        <v>13</v>
      </c>
    </row>
    <row r="52" spans="1:32" x14ac:dyDescent="0.25">
      <c r="A52">
        <v>46</v>
      </c>
      <c r="B52" t="s">
        <v>842</v>
      </c>
      <c r="C52" t="s">
        <v>843</v>
      </c>
      <c r="D52" t="s">
        <v>844</v>
      </c>
      <c r="E52" t="s">
        <v>845</v>
      </c>
      <c r="F52" t="s">
        <v>846</v>
      </c>
      <c r="G52" t="s">
        <v>847</v>
      </c>
      <c r="H52" t="s">
        <v>250</v>
      </c>
      <c r="I52" t="s">
        <v>848</v>
      </c>
      <c r="J52" t="s">
        <v>849</v>
      </c>
      <c r="K52" t="s">
        <v>850</v>
      </c>
      <c r="L52" t="s">
        <v>851</v>
      </c>
      <c r="M52" t="s">
        <v>86</v>
      </c>
      <c r="O52" t="s">
        <v>852</v>
      </c>
      <c r="P52" s="2">
        <v>42603</v>
      </c>
      <c r="Q52" s="2">
        <v>40516</v>
      </c>
      <c r="R52" t="s">
        <v>635</v>
      </c>
      <c r="S52">
        <v>6360</v>
      </c>
      <c r="T52" t="s">
        <v>853</v>
      </c>
      <c r="U52">
        <v>2</v>
      </c>
      <c r="V52">
        <v>2</v>
      </c>
      <c r="W52" t="s">
        <v>45</v>
      </c>
      <c r="X52">
        <v>2</v>
      </c>
      <c r="Y52" s="1">
        <v>0.75</v>
      </c>
      <c r="Z52" t="s">
        <v>91</v>
      </c>
      <c r="AA52" t="s">
        <v>854</v>
      </c>
      <c r="AB52" t="s">
        <v>855</v>
      </c>
      <c r="AC52" t="s">
        <v>856</v>
      </c>
      <c r="AD52" t="s">
        <v>116</v>
      </c>
      <c r="AE52" t="s">
        <v>857</v>
      </c>
      <c r="AF52">
        <f t="shared" si="0"/>
        <v>5</v>
      </c>
    </row>
    <row r="53" spans="1:32" x14ac:dyDescent="0.25">
      <c r="A53">
        <v>47</v>
      </c>
      <c r="B53" t="s">
        <v>858</v>
      </c>
      <c r="C53" t="s">
        <v>859</v>
      </c>
      <c r="D53" t="s">
        <v>860</v>
      </c>
      <c r="E53" t="s">
        <v>861</v>
      </c>
      <c r="F53" t="s">
        <v>862</v>
      </c>
      <c r="G53" t="s">
        <v>863</v>
      </c>
      <c r="H53" t="s">
        <v>864</v>
      </c>
      <c r="I53" t="s">
        <v>865</v>
      </c>
      <c r="J53" t="s">
        <v>866</v>
      </c>
      <c r="K53" t="s">
        <v>867</v>
      </c>
      <c r="L53" t="s">
        <v>868</v>
      </c>
      <c r="M53" t="s">
        <v>86</v>
      </c>
      <c r="N53" t="s">
        <v>87</v>
      </c>
      <c r="O53" t="s">
        <v>869</v>
      </c>
      <c r="P53" s="2">
        <v>38181</v>
      </c>
      <c r="Q53" s="2">
        <v>44384</v>
      </c>
      <c r="R53" t="s">
        <v>151</v>
      </c>
      <c r="S53">
        <v>8473</v>
      </c>
      <c r="T53" t="s">
        <v>870</v>
      </c>
      <c r="U53">
        <v>8</v>
      </c>
      <c r="V53">
        <v>8</v>
      </c>
      <c r="W53" t="s">
        <v>45</v>
      </c>
      <c r="X53">
        <v>1</v>
      </c>
      <c r="Y53" s="1">
        <v>0.75</v>
      </c>
      <c r="Z53" t="s">
        <v>416</v>
      </c>
      <c r="AA53" t="s">
        <v>871</v>
      </c>
      <c r="AB53" t="s">
        <v>872</v>
      </c>
      <c r="AC53" t="s">
        <v>873</v>
      </c>
      <c r="AD53" t="s">
        <v>194</v>
      </c>
      <c r="AE53" t="s">
        <v>874</v>
      </c>
      <c r="AF53">
        <f t="shared" si="0"/>
        <v>16</v>
      </c>
    </row>
    <row r="54" spans="1:32" x14ac:dyDescent="0.25">
      <c r="A54">
        <v>48</v>
      </c>
      <c r="B54" t="s">
        <v>875</v>
      </c>
      <c r="C54" t="s">
        <v>876</v>
      </c>
      <c r="D54" t="s">
        <v>877</v>
      </c>
      <c r="E54" t="s">
        <v>878</v>
      </c>
      <c r="F54" t="s">
        <v>879</v>
      </c>
      <c r="G54" t="s">
        <v>880</v>
      </c>
      <c r="H54" t="s">
        <v>645</v>
      </c>
      <c r="I54" t="s">
        <v>881</v>
      </c>
      <c r="J54" t="s">
        <v>882</v>
      </c>
      <c r="K54" t="s">
        <v>883</v>
      </c>
      <c r="L54" t="s">
        <v>884</v>
      </c>
      <c r="M54" t="s">
        <v>108</v>
      </c>
      <c r="N54" t="s">
        <v>129</v>
      </c>
      <c r="O54" t="s">
        <v>885</v>
      </c>
      <c r="P54" s="2">
        <v>40593</v>
      </c>
      <c r="Q54" s="2">
        <v>37684</v>
      </c>
      <c r="R54" t="s">
        <v>169</v>
      </c>
      <c r="S54">
        <v>9271</v>
      </c>
      <c r="T54" t="s">
        <v>886</v>
      </c>
      <c r="U54">
        <v>9</v>
      </c>
      <c r="V54">
        <v>9</v>
      </c>
      <c r="W54" t="s">
        <v>45</v>
      </c>
      <c r="X54">
        <v>2</v>
      </c>
      <c r="Y54" s="1">
        <v>2</v>
      </c>
      <c r="Z54" t="s">
        <v>89</v>
      </c>
      <c r="AA54" t="s">
        <v>351</v>
      </c>
      <c r="AB54" t="s">
        <v>887</v>
      </c>
      <c r="AC54" t="s">
        <v>888</v>
      </c>
      <c r="AD54" t="s">
        <v>136</v>
      </c>
      <c r="AE54" t="s">
        <v>889</v>
      </c>
      <c r="AF54">
        <f t="shared" si="0"/>
        <v>7</v>
      </c>
    </row>
    <row r="55" spans="1:32" x14ac:dyDescent="0.25">
      <c r="A55">
        <v>49</v>
      </c>
      <c r="B55" t="s">
        <v>890</v>
      </c>
      <c r="C55" t="s">
        <v>891</v>
      </c>
      <c r="D55" t="s">
        <v>892</v>
      </c>
      <c r="E55" t="s">
        <v>893</v>
      </c>
      <c r="F55" t="s">
        <v>894</v>
      </c>
      <c r="G55" t="s">
        <v>895</v>
      </c>
      <c r="H55" t="s">
        <v>896</v>
      </c>
      <c r="I55" t="s">
        <v>897</v>
      </c>
      <c r="J55" t="s">
        <v>898</v>
      </c>
      <c r="K55" t="s">
        <v>899</v>
      </c>
      <c r="L55" t="s">
        <v>900</v>
      </c>
      <c r="M55" t="s">
        <v>108</v>
      </c>
      <c r="N55" t="s">
        <v>129</v>
      </c>
      <c r="O55" t="s">
        <v>901</v>
      </c>
      <c r="P55" s="2">
        <v>39728</v>
      </c>
      <c r="Q55" s="2">
        <v>40903</v>
      </c>
      <c r="R55" t="s">
        <v>169</v>
      </c>
      <c r="S55">
        <v>6185</v>
      </c>
      <c r="T55" t="s">
        <v>902</v>
      </c>
      <c r="U55">
        <v>7</v>
      </c>
      <c r="V55">
        <v>7</v>
      </c>
      <c r="W55" t="s">
        <v>69</v>
      </c>
      <c r="X55">
        <v>3</v>
      </c>
      <c r="Y55" s="1">
        <v>0.5</v>
      </c>
      <c r="Z55" t="s">
        <v>433</v>
      </c>
      <c r="AA55" t="s">
        <v>92</v>
      </c>
      <c r="AB55" t="s">
        <v>903</v>
      </c>
      <c r="AC55" t="s">
        <v>904</v>
      </c>
      <c r="AD55" t="s">
        <v>194</v>
      </c>
      <c r="AE55" t="s">
        <v>905</v>
      </c>
      <c r="AF55">
        <f t="shared" si="0"/>
        <v>3</v>
      </c>
    </row>
    <row r="56" spans="1:32" x14ac:dyDescent="0.25">
      <c r="A56">
        <v>50</v>
      </c>
      <c r="B56" t="s">
        <v>906</v>
      </c>
      <c r="C56" t="s">
        <v>907</v>
      </c>
      <c r="D56" t="s">
        <v>908</v>
      </c>
      <c r="E56" t="s">
        <v>909</v>
      </c>
      <c r="F56" t="s">
        <v>910</v>
      </c>
      <c r="G56" t="s">
        <v>911</v>
      </c>
      <c r="H56" t="s">
        <v>912</v>
      </c>
      <c r="I56" t="s">
        <v>913</v>
      </c>
      <c r="J56" t="s">
        <v>914</v>
      </c>
      <c r="K56" t="s">
        <v>915</v>
      </c>
      <c r="L56" t="s">
        <v>916</v>
      </c>
      <c r="M56" t="s">
        <v>108</v>
      </c>
      <c r="O56" t="s">
        <v>917</v>
      </c>
      <c r="P56" s="2">
        <v>41201</v>
      </c>
      <c r="Q56" s="2">
        <v>39512</v>
      </c>
      <c r="R56" t="s">
        <v>635</v>
      </c>
      <c r="S56">
        <v>6633</v>
      </c>
      <c r="T56" t="s">
        <v>918</v>
      </c>
      <c r="U56">
        <v>3</v>
      </c>
      <c r="V56">
        <v>3</v>
      </c>
      <c r="W56" t="s">
        <v>69</v>
      </c>
      <c r="X56">
        <v>1</v>
      </c>
      <c r="Y56" s="1">
        <v>1.5</v>
      </c>
      <c r="Z56" t="s">
        <v>416</v>
      </c>
      <c r="AA56" t="s">
        <v>317</v>
      </c>
      <c r="AB56" t="s">
        <v>350</v>
      </c>
      <c r="AC56" t="s">
        <v>919</v>
      </c>
      <c r="AD56" t="s">
        <v>95</v>
      </c>
      <c r="AE56" t="s">
        <v>920</v>
      </c>
      <c r="AF56">
        <f t="shared" si="0"/>
        <v>4</v>
      </c>
    </row>
    <row r="57" spans="1:32" x14ac:dyDescent="0.25">
      <c r="A57">
        <v>51</v>
      </c>
      <c r="B57" t="s">
        <v>921</v>
      </c>
      <c r="C57" t="s">
        <v>922</v>
      </c>
      <c r="D57" t="s">
        <v>923</v>
      </c>
      <c r="E57" t="s">
        <v>924</v>
      </c>
      <c r="F57" t="s">
        <v>925</v>
      </c>
      <c r="G57" t="s">
        <v>926</v>
      </c>
      <c r="H57" t="s">
        <v>927</v>
      </c>
      <c r="I57" t="s">
        <v>928</v>
      </c>
      <c r="J57" t="s">
        <v>929</v>
      </c>
      <c r="K57" t="s">
        <v>930</v>
      </c>
      <c r="L57" t="s">
        <v>931</v>
      </c>
      <c r="M57" t="s">
        <v>108</v>
      </c>
      <c r="N57" t="s">
        <v>129</v>
      </c>
      <c r="O57" t="s">
        <v>932</v>
      </c>
      <c r="P57" s="2">
        <v>43457</v>
      </c>
      <c r="Q57" s="2">
        <v>41824</v>
      </c>
      <c r="R57" t="s">
        <v>169</v>
      </c>
      <c r="S57">
        <v>7191</v>
      </c>
      <c r="T57" t="s">
        <v>933</v>
      </c>
      <c r="U57">
        <v>1</v>
      </c>
      <c r="V57">
        <v>1</v>
      </c>
      <c r="W57" t="s">
        <v>45</v>
      </c>
      <c r="X57">
        <v>1</v>
      </c>
      <c r="Y57" s="1">
        <v>2</v>
      </c>
      <c r="Z57" t="s">
        <v>171</v>
      </c>
      <c r="AA57" t="s">
        <v>934</v>
      </c>
      <c r="AB57" t="s">
        <v>935</v>
      </c>
      <c r="AC57" t="s">
        <v>936</v>
      </c>
      <c r="AD57" t="s">
        <v>194</v>
      </c>
      <c r="AE57" t="s">
        <v>841</v>
      </c>
      <c r="AF57">
        <f t="shared" si="0"/>
        <v>4</v>
      </c>
    </row>
    <row r="58" spans="1:32" x14ac:dyDescent="0.25">
      <c r="A58">
        <v>52</v>
      </c>
      <c r="B58" t="s">
        <v>937</v>
      </c>
      <c r="C58" t="s">
        <v>370</v>
      </c>
      <c r="D58" t="s">
        <v>938</v>
      </c>
      <c r="E58" t="s">
        <v>939</v>
      </c>
      <c r="F58" t="s">
        <v>940</v>
      </c>
      <c r="G58" t="s">
        <v>941</v>
      </c>
      <c r="H58" t="s">
        <v>942</v>
      </c>
      <c r="I58" t="s">
        <v>943</v>
      </c>
      <c r="J58" t="s">
        <v>944</v>
      </c>
      <c r="K58" t="s">
        <v>945</v>
      </c>
      <c r="L58" t="s">
        <v>946</v>
      </c>
      <c r="M58" t="s">
        <v>108</v>
      </c>
      <c r="N58" t="s">
        <v>129</v>
      </c>
      <c r="O58" t="s">
        <v>947</v>
      </c>
      <c r="P58" s="2">
        <v>43633</v>
      </c>
      <c r="Q58" s="2">
        <v>42922</v>
      </c>
      <c r="R58" t="s">
        <v>433</v>
      </c>
      <c r="S58">
        <v>4732</v>
      </c>
      <c r="T58" t="s">
        <v>948</v>
      </c>
      <c r="U58">
        <v>5</v>
      </c>
      <c r="V58">
        <v>5</v>
      </c>
      <c r="W58" t="s">
        <v>69</v>
      </c>
      <c r="X58">
        <v>3</v>
      </c>
      <c r="Y58" s="1">
        <v>1.5</v>
      </c>
      <c r="Z58" t="s">
        <v>433</v>
      </c>
      <c r="AA58" t="s">
        <v>949</v>
      </c>
      <c r="AB58" t="s">
        <v>950</v>
      </c>
      <c r="AC58" t="s">
        <v>951</v>
      </c>
      <c r="AD58" t="s">
        <v>194</v>
      </c>
      <c r="AE58" t="s">
        <v>952</v>
      </c>
      <c r="AF58">
        <f t="shared" si="0"/>
        <v>1</v>
      </c>
    </row>
    <row r="59" spans="1:32" x14ac:dyDescent="0.25">
      <c r="A59">
        <v>53</v>
      </c>
      <c r="B59" t="s">
        <v>953</v>
      </c>
      <c r="C59" t="s">
        <v>954</v>
      </c>
      <c r="D59" t="s">
        <v>955</v>
      </c>
      <c r="E59" t="s">
        <v>956</v>
      </c>
      <c r="F59" t="s">
        <v>957</v>
      </c>
      <c r="G59" t="s">
        <v>958</v>
      </c>
      <c r="H59" t="s">
        <v>959</v>
      </c>
      <c r="I59" t="s">
        <v>960</v>
      </c>
      <c r="J59" t="s">
        <v>961</v>
      </c>
      <c r="K59" t="s">
        <v>962</v>
      </c>
      <c r="L59" t="s">
        <v>963</v>
      </c>
      <c r="M59" t="s">
        <v>86</v>
      </c>
      <c r="N59" t="s">
        <v>87</v>
      </c>
      <c r="O59" t="s">
        <v>964</v>
      </c>
      <c r="P59" s="2">
        <v>37741</v>
      </c>
      <c r="Q59" s="2">
        <v>39003</v>
      </c>
      <c r="R59" t="s">
        <v>210</v>
      </c>
      <c r="S59">
        <v>3644</v>
      </c>
      <c r="T59" t="s">
        <v>965</v>
      </c>
      <c r="U59">
        <v>4</v>
      </c>
      <c r="V59">
        <v>4</v>
      </c>
      <c r="W59" t="s">
        <v>55</v>
      </c>
      <c r="X59">
        <v>3</v>
      </c>
      <c r="Y59" s="1">
        <v>3</v>
      </c>
      <c r="Z59" t="s">
        <v>151</v>
      </c>
      <c r="AA59" t="s">
        <v>966</v>
      </c>
      <c r="AB59" t="s">
        <v>967</v>
      </c>
      <c r="AC59" t="s">
        <v>968</v>
      </c>
      <c r="AD59" t="s">
        <v>386</v>
      </c>
      <c r="AE59" t="s">
        <v>969</v>
      </c>
      <c r="AF59">
        <f t="shared" si="0"/>
        <v>3</v>
      </c>
    </row>
    <row r="60" spans="1:32" x14ac:dyDescent="0.25">
      <c r="A60">
        <v>54</v>
      </c>
      <c r="B60" t="s">
        <v>970</v>
      </c>
      <c r="C60" t="s">
        <v>971</v>
      </c>
      <c r="D60" t="s">
        <v>972</v>
      </c>
      <c r="E60" t="s">
        <v>973</v>
      </c>
      <c r="F60" t="s">
        <v>974</v>
      </c>
      <c r="G60" t="s">
        <v>975</v>
      </c>
      <c r="H60" t="s">
        <v>976</v>
      </c>
      <c r="I60" t="s">
        <v>977</v>
      </c>
      <c r="J60" t="s">
        <v>978</v>
      </c>
      <c r="K60" t="s">
        <v>979</v>
      </c>
      <c r="L60" t="s">
        <v>980</v>
      </c>
      <c r="M60" t="s">
        <v>108</v>
      </c>
      <c r="N60" t="s">
        <v>207</v>
      </c>
      <c r="O60" t="s">
        <v>981</v>
      </c>
      <c r="P60" s="2">
        <v>41173</v>
      </c>
      <c r="Q60" s="2">
        <v>40811</v>
      </c>
      <c r="R60" t="s">
        <v>263</v>
      </c>
      <c r="S60">
        <v>9953</v>
      </c>
      <c r="T60" t="s">
        <v>982</v>
      </c>
      <c r="U60">
        <v>6</v>
      </c>
      <c r="V60">
        <v>6</v>
      </c>
      <c r="W60" t="s">
        <v>55</v>
      </c>
      <c r="X60">
        <v>2</v>
      </c>
      <c r="Y60" s="1">
        <v>0.75</v>
      </c>
      <c r="Z60" t="s">
        <v>228</v>
      </c>
      <c r="AA60" t="s">
        <v>983</v>
      </c>
      <c r="AB60" t="s">
        <v>729</v>
      </c>
      <c r="AC60" t="s">
        <v>984</v>
      </c>
      <c r="AD60" t="s">
        <v>116</v>
      </c>
      <c r="AE60" t="s">
        <v>985</v>
      </c>
      <c r="AF60">
        <f t="shared" si="0"/>
        <v>0</v>
      </c>
    </row>
    <row r="61" spans="1:32" x14ac:dyDescent="0.25">
      <c r="A61">
        <v>55</v>
      </c>
      <c r="B61" t="s">
        <v>986</v>
      </c>
      <c r="C61" t="s">
        <v>987</v>
      </c>
      <c r="D61" t="s">
        <v>988</v>
      </c>
      <c r="E61" t="s">
        <v>989</v>
      </c>
      <c r="F61" t="s">
        <v>990</v>
      </c>
      <c r="G61" t="s">
        <v>991</v>
      </c>
      <c r="H61" t="s">
        <v>992</v>
      </c>
      <c r="I61" t="s">
        <v>993</v>
      </c>
      <c r="J61" t="s">
        <v>994</v>
      </c>
      <c r="K61" t="s">
        <v>995</v>
      </c>
      <c r="L61" t="s">
        <v>996</v>
      </c>
      <c r="M61" t="s">
        <v>86</v>
      </c>
      <c r="N61" t="s">
        <v>207</v>
      </c>
      <c r="O61" t="s">
        <v>997</v>
      </c>
      <c r="P61" s="2">
        <v>44456</v>
      </c>
      <c r="Q61" s="2">
        <v>40117</v>
      </c>
      <c r="R61" t="s">
        <v>416</v>
      </c>
      <c r="S61">
        <v>4906</v>
      </c>
      <c r="T61" t="s">
        <v>998</v>
      </c>
      <c r="U61">
        <v>6</v>
      </c>
      <c r="V61">
        <v>6</v>
      </c>
      <c r="W61" t="s">
        <v>69</v>
      </c>
      <c r="X61">
        <v>3</v>
      </c>
      <c r="Y61" s="1">
        <v>1</v>
      </c>
      <c r="Z61" t="s">
        <v>112</v>
      </c>
      <c r="AA61" t="s">
        <v>999</v>
      </c>
      <c r="AB61" t="s">
        <v>1000</v>
      </c>
      <c r="AC61" t="s">
        <v>1001</v>
      </c>
      <c r="AD61" t="s">
        <v>116</v>
      </c>
      <c r="AE61" t="s">
        <v>1002</v>
      </c>
      <c r="AF61">
        <f t="shared" si="0"/>
        <v>11</v>
      </c>
    </row>
    <row r="62" spans="1:32" x14ac:dyDescent="0.25">
      <c r="A62">
        <v>56</v>
      </c>
      <c r="B62" t="s">
        <v>1003</v>
      </c>
      <c r="C62" t="s">
        <v>1004</v>
      </c>
      <c r="D62" t="s">
        <v>1005</v>
      </c>
      <c r="E62" t="s">
        <v>1006</v>
      </c>
      <c r="F62" t="s">
        <v>1007</v>
      </c>
      <c r="G62" t="s">
        <v>1008</v>
      </c>
      <c r="H62" t="s">
        <v>1009</v>
      </c>
      <c r="I62" t="s">
        <v>1010</v>
      </c>
      <c r="J62" t="s">
        <v>1011</v>
      </c>
      <c r="K62" t="s">
        <v>1012</v>
      </c>
      <c r="L62" t="s">
        <v>1013</v>
      </c>
      <c r="M62" t="s">
        <v>86</v>
      </c>
      <c r="N62" t="s">
        <v>87</v>
      </c>
      <c r="O62" t="s">
        <v>1014</v>
      </c>
      <c r="P62" s="2">
        <v>39720</v>
      </c>
      <c r="Q62" s="2">
        <v>43698</v>
      </c>
      <c r="R62" t="s">
        <v>171</v>
      </c>
      <c r="S62">
        <v>8723</v>
      </c>
      <c r="T62" t="s">
        <v>1015</v>
      </c>
      <c r="U62">
        <v>6</v>
      </c>
      <c r="V62">
        <v>6</v>
      </c>
      <c r="W62" t="s">
        <v>55</v>
      </c>
      <c r="X62">
        <v>2</v>
      </c>
      <c r="Y62" s="1">
        <v>3</v>
      </c>
      <c r="Z62" t="s">
        <v>171</v>
      </c>
      <c r="AA62" t="s">
        <v>1016</v>
      </c>
      <c r="AB62" t="s">
        <v>1017</v>
      </c>
      <c r="AC62" t="s">
        <v>1018</v>
      </c>
      <c r="AD62" t="s">
        <v>116</v>
      </c>
      <c r="AE62" t="s">
        <v>1019</v>
      </c>
      <c r="AF62">
        <f t="shared" si="0"/>
        <v>10</v>
      </c>
    </row>
    <row r="63" spans="1:32" x14ac:dyDescent="0.25">
      <c r="A63">
        <v>57</v>
      </c>
      <c r="B63" t="s">
        <v>76</v>
      </c>
      <c r="C63" t="s">
        <v>1020</v>
      </c>
      <c r="D63" t="s">
        <v>1021</v>
      </c>
      <c r="E63" t="s">
        <v>1022</v>
      </c>
      <c r="F63" t="s">
        <v>1023</v>
      </c>
      <c r="G63" t="s">
        <v>1024</v>
      </c>
      <c r="H63" t="s">
        <v>942</v>
      </c>
      <c r="I63" t="s">
        <v>1025</v>
      </c>
      <c r="J63" t="s">
        <v>1026</v>
      </c>
      <c r="K63" t="s">
        <v>1027</v>
      </c>
      <c r="L63" t="s">
        <v>1028</v>
      </c>
      <c r="M63" t="s">
        <v>108</v>
      </c>
      <c r="N63" t="s">
        <v>207</v>
      </c>
      <c r="O63" t="s">
        <v>1029</v>
      </c>
      <c r="P63" s="2">
        <v>42101</v>
      </c>
      <c r="Q63" s="2">
        <v>40536</v>
      </c>
      <c r="R63" t="s">
        <v>228</v>
      </c>
      <c r="S63">
        <v>7983</v>
      </c>
      <c r="T63" t="s">
        <v>1030</v>
      </c>
      <c r="U63">
        <v>9</v>
      </c>
      <c r="V63">
        <v>9</v>
      </c>
      <c r="W63" t="s">
        <v>55</v>
      </c>
      <c r="X63">
        <v>3</v>
      </c>
      <c r="Y63" s="1">
        <v>0.75</v>
      </c>
      <c r="Z63" t="s">
        <v>151</v>
      </c>
      <c r="AA63" t="s">
        <v>1031</v>
      </c>
      <c r="AB63" t="s">
        <v>436</v>
      </c>
      <c r="AC63" t="s">
        <v>1032</v>
      </c>
      <c r="AD63" t="s">
        <v>194</v>
      </c>
      <c r="AE63" t="s">
        <v>1033</v>
      </c>
      <c r="AF63">
        <f t="shared" si="0"/>
        <v>4</v>
      </c>
    </row>
    <row r="64" spans="1:32" x14ac:dyDescent="0.25">
      <c r="A64">
        <v>58</v>
      </c>
      <c r="B64" t="s">
        <v>439</v>
      </c>
      <c r="C64" t="s">
        <v>1034</v>
      </c>
      <c r="D64" t="s">
        <v>1035</v>
      </c>
      <c r="E64" t="s">
        <v>1036</v>
      </c>
      <c r="F64" t="s">
        <v>1037</v>
      </c>
      <c r="G64" t="s">
        <v>1038</v>
      </c>
      <c r="H64" t="s">
        <v>1039</v>
      </c>
      <c r="I64" t="s">
        <v>1040</v>
      </c>
      <c r="J64" t="s">
        <v>1041</v>
      </c>
      <c r="K64" t="s">
        <v>1042</v>
      </c>
      <c r="L64" t="s">
        <v>1043</v>
      </c>
      <c r="M64" t="s">
        <v>108</v>
      </c>
      <c r="N64" t="s">
        <v>207</v>
      </c>
      <c r="O64" t="s">
        <v>1044</v>
      </c>
      <c r="P64" s="2">
        <v>41818</v>
      </c>
      <c r="Q64" s="2">
        <v>42811</v>
      </c>
      <c r="R64" t="s">
        <v>635</v>
      </c>
      <c r="S64">
        <v>7927</v>
      </c>
      <c r="T64" t="s">
        <v>1045</v>
      </c>
      <c r="U64">
        <v>1</v>
      </c>
      <c r="V64">
        <v>1</v>
      </c>
      <c r="W64" t="s">
        <v>55</v>
      </c>
      <c r="X64">
        <v>2</v>
      </c>
      <c r="Y64" s="1">
        <v>2.5</v>
      </c>
      <c r="Z64" t="s">
        <v>89</v>
      </c>
      <c r="AA64" t="s">
        <v>1046</v>
      </c>
      <c r="AB64" t="s">
        <v>351</v>
      </c>
      <c r="AC64" t="s">
        <v>1047</v>
      </c>
      <c r="AD64" t="s">
        <v>116</v>
      </c>
      <c r="AE64" t="s">
        <v>1048</v>
      </c>
      <c r="AF64">
        <f t="shared" si="0"/>
        <v>2</v>
      </c>
    </row>
    <row r="65" spans="1:32" x14ac:dyDescent="0.25">
      <c r="A65">
        <v>59</v>
      </c>
      <c r="B65" t="s">
        <v>1049</v>
      </c>
      <c r="C65" t="s">
        <v>403</v>
      </c>
      <c r="D65" t="s">
        <v>1050</v>
      </c>
      <c r="E65" t="s">
        <v>1051</v>
      </c>
      <c r="F65" t="s">
        <v>1052</v>
      </c>
      <c r="G65" t="s">
        <v>1053</v>
      </c>
      <c r="H65" t="s">
        <v>1054</v>
      </c>
      <c r="I65" t="s">
        <v>1055</v>
      </c>
      <c r="J65" t="s">
        <v>1056</v>
      </c>
      <c r="K65" t="s">
        <v>1057</v>
      </c>
      <c r="L65" t="s">
        <v>1058</v>
      </c>
      <c r="M65" t="s">
        <v>108</v>
      </c>
      <c r="O65" t="s">
        <v>1059</v>
      </c>
      <c r="P65" s="2">
        <v>42475</v>
      </c>
      <c r="Q65" s="2">
        <v>41778</v>
      </c>
      <c r="R65" t="s">
        <v>171</v>
      </c>
      <c r="S65">
        <v>3692</v>
      </c>
      <c r="T65" t="s">
        <v>1060</v>
      </c>
      <c r="U65">
        <v>2</v>
      </c>
      <c r="V65">
        <v>2</v>
      </c>
      <c r="W65" t="s">
        <v>45</v>
      </c>
      <c r="X65">
        <v>2</v>
      </c>
      <c r="Y65" s="1">
        <v>1.5</v>
      </c>
      <c r="Z65" t="s">
        <v>263</v>
      </c>
      <c r="AA65" t="s">
        <v>1061</v>
      </c>
      <c r="AB65" t="s">
        <v>246</v>
      </c>
      <c r="AC65" t="s">
        <v>1062</v>
      </c>
      <c r="AD65" t="s">
        <v>136</v>
      </c>
      <c r="AE65" t="s">
        <v>353</v>
      </c>
      <c r="AF65">
        <f t="shared" si="0"/>
        <v>1</v>
      </c>
    </row>
    <row r="66" spans="1:32" x14ac:dyDescent="0.25">
      <c r="A66">
        <v>60</v>
      </c>
      <c r="B66" t="s">
        <v>1063</v>
      </c>
      <c r="C66" t="s">
        <v>1064</v>
      </c>
      <c r="D66" t="s">
        <v>1065</v>
      </c>
      <c r="E66" t="s">
        <v>1066</v>
      </c>
      <c r="F66" t="s">
        <v>1067</v>
      </c>
      <c r="G66" t="s">
        <v>1068</v>
      </c>
      <c r="H66" t="s">
        <v>1069</v>
      </c>
      <c r="I66" t="s">
        <v>1070</v>
      </c>
      <c r="J66" t="s">
        <v>1071</v>
      </c>
      <c r="K66" t="s">
        <v>1072</v>
      </c>
      <c r="L66" t="s">
        <v>1073</v>
      </c>
      <c r="M66" t="s">
        <v>86</v>
      </c>
      <c r="N66" t="s">
        <v>207</v>
      </c>
      <c r="O66" t="s">
        <v>1074</v>
      </c>
      <c r="P66" s="2">
        <v>44326</v>
      </c>
      <c r="Q66" s="2">
        <v>40458</v>
      </c>
      <c r="R66" t="s">
        <v>433</v>
      </c>
      <c r="S66">
        <v>5712</v>
      </c>
      <c r="T66" t="s">
        <v>1075</v>
      </c>
      <c r="U66">
        <v>3</v>
      </c>
      <c r="V66">
        <v>3</v>
      </c>
      <c r="W66" t="s">
        <v>45</v>
      </c>
      <c r="X66">
        <v>2</v>
      </c>
      <c r="Y66" s="1">
        <v>0.5</v>
      </c>
      <c r="Z66" t="s">
        <v>89</v>
      </c>
      <c r="AA66" t="s">
        <v>1076</v>
      </c>
      <c r="AB66" t="s">
        <v>551</v>
      </c>
      <c r="AC66" t="s">
        <v>1077</v>
      </c>
      <c r="AD66" t="s">
        <v>136</v>
      </c>
      <c r="AE66" t="s">
        <v>1078</v>
      </c>
      <c r="AF66">
        <f t="shared" si="0"/>
        <v>10</v>
      </c>
    </row>
    <row r="67" spans="1:32" x14ac:dyDescent="0.25">
      <c r="A67">
        <v>61</v>
      </c>
      <c r="B67" t="s">
        <v>1079</v>
      </c>
      <c r="C67" t="s">
        <v>1080</v>
      </c>
      <c r="D67" t="s">
        <v>1081</v>
      </c>
      <c r="E67" t="s">
        <v>1082</v>
      </c>
      <c r="F67" t="s">
        <v>1083</v>
      </c>
      <c r="G67" t="s">
        <v>1084</v>
      </c>
      <c r="H67" t="s">
        <v>1085</v>
      </c>
      <c r="I67" t="s">
        <v>1086</v>
      </c>
      <c r="J67" t="s">
        <v>1087</v>
      </c>
      <c r="K67" t="s">
        <v>1088</v>
      </c>
      <c r="L67" t="s">
        <v>1089</v>
      </c>
      <c r="M67" t="s">
        <v>86</v>
      </c>
      <c r="N67" t="s">
        <v>207</v>
      </c>
      <c r="O67" t="s">
        <v>1090</v>
      </c>
      <c r="P67" s="2">
        <v>41548</v>
      </c>
      <c r="Q67" s="2">
        <v>39064</v>
      </c>
      <c r="R67" t="s">
        <v>190</v>
      </c>
      <c r="S67">
        <v>6996</v>
      </c>
      <c r="T67" t="s">
        <v>1091</v>
      </c>
      <c r="U67">
        <v>9</v>
      </c>
      <c r="V67">
        <v>9</v>
      </c>
      <c r="W67" t="s">
        <v>55</v>
      </c>
      <c r="X67">
        <v>2</v>
      </c>
      <c r="Y67" s="1">
        <v>1.5</v>
      </c>
      <c r="Z67" t="s">
        <v>635</v>
      </c>
      <c r="AA67" t="s">
        <v>1092</v>
      </c>
      <c r="AB67" t="s">
        <v>1093</v>
      </c>
      <c r="AC67" t="s">
        <v>1094</v>
      </c>
      <c r="AD67" t="s">
        <v>155</v>
      </c>
      <c r="AE67" t="s">
        <v>1095</v>
      </c>
      <c r="AF67">
        <f t="shared" si="0"/>
        <v>6</v>
      </c>
    </row>
    <row r="68" spans="1:32" x14ac:dyDescent="0.25">
      <c r="A68">
        <v>62</v>
      </c>
      <c r="B68" t="s">
        <v>1096</v>
      </c>
      <c r="C68" t="s">
        <v>1097</v>
      </c>
      <c r="D68" t="s">
        <v>1098</v>
      </c>
      <c r="E68" t="s">
        <v>1099</v>
      </c>
      <c r="F68" t="s">
        <v>1100</v>
      </c>
      <c r="G68" t="s">
        <v>1101</v>
      </c>
      <c r="H68" t="s">
        <v>1102</v>
      </c>
      <c r="I68" t="s">
        <v>1103</v>
      </c>
      <c r="J68" t="s">
        <v>1104</v>
      </c>
      <c r="K68" t="s">
        <v>1105</v>
      </c>
      <c r="L68" t="s">
        <v>1106</v>
      </c>
      <c r="M68" t="s">
        <v>86</v>
      </c>
      <c r="N68" t="s">
        <v>207</v>
      </c>
      <c r="O68" t="s">
        <v>1107</v>
      </c>
      <c r="P68" s="2">
        <v>37516</v>
      </c>
      <c r="Q68" s="2">
        <v>39636</v>
      </c>
      <c r="R68" t="s">
        <v>210</v>
      </c>
      <c r="S68">
        <v>3556</v>
      </c>
      <c r="T68" t="s">
        <v>1108</v>
      </c>
      <c r="U68">
        <v>4</v>
      </c>
      <c r="V68">
        <v>4</v>
      </c>
      <c r="W68" t="s">
        <v>45</v>
      </c>
      <c r="X68">
        <v>3</v>
      </c>
      <c r="Y68" s="1">
        <v>2.5</v>
      </c>
      <c r="Z68" t="s">
        <v>433</v>
      </c>
      <c r="AA68" t="s">
        <v>282</v>
      </c>
      <c r="AB68" t="s">
        <v>1109</v>
      </c>
      <c r="AC68" t="s">
        <v>1110</v>
      </c>
      <c r="AD68" t="s">
        <v>267</v>
      </c>
      <c r="AE68" t="s">
        <v>1111</v>
      </c>
      <c r="AF68">
        <f t="shared" si="0"/>
        <v>5</v>
      </c>
    </row>
    <row r="69" spans="1:32" x14ac:dyDescent="0.25">
      <c r="A69">
        <v>63</v>
      </c>
      <c r="B69" t="s">
        <v>1112</v>
      </c>
      <c r="C69" t="s">
        <v>1113</v>
      </c>
      <c r="D69" t="s">
        <v>1114</v>
      </c>
      <c r="E69" t="s">
        <v>1115</v>
      </c>
      <c r="F69" t="s">
        <v>1116</v>
      </c>
      <c r="G69" t="s">
        <v>1117</v>
      </c>
      <c r="H69" t="s">
        <v>1118</v>
      </c>
      <c r="I69" t="s">
        <v>1119</v>
      </c>
      <c r="J69" t="s">
        <v>1120</v>
      </c>
      <c r="K69" t="s">
        <v>1121</v>
      </c>
      <c r="L69" t="s">
        <v>1122</v>
      </c>
      <c r="M69" t="s">
        <v>86</v>
      </c>
      <c r="N69" t="s">
        <v>207</v>
      </c>
      <c r="O69" t="s">
        <v>1123</v>
      </c>
      <c r="P69" s="2">
        <v>40371</v>
      </c>
      <c r="Q69" s="2">
        <v>39580</v>
      </c>
      <c r="R69" t="s">
        <v>171</v>
      </c>
      <c r="S69">
        <v>7377</v>
      </c>
      <c r="T69" t="s">
        <v>1124</v>
      </c>
      <c r="U69">
        <v>6</v>
      </c>
      <c r="V69">
        <v>6</v>
      </c>
      <c r="W69" t="s">
        <v>69</v>
      </c>
      <c r="X69">
        <v>4</v>
      </c>
      <c r="Y69" s="1">
        <v>0.5</v>
      </c>
      <c r="Z69" t="s">
        <v>416</v>
      </c>
      <c r="AA69" t="s">
        <v>1125</v>
      </c>
      <c r="AB69" t="s">
        <v>383</v>
      </c>
      <c r="AC69" t="s">
        <v>1126</v>
      </c>
      <c r="AD69" t="s">
        <v>136</v>
      </c>
      <c r="AE69" t="s">
        <v>1127</v>
      </c>
      <c r="AF69">
        <f t="shared" si="0"/>
        <v>2</v>
      </c>
    </row>
    <row r="70" spans="1:32" x14ac:dyDescent="0.25">
      <c r="A70">
        <v>64</v>
      </c>
      <c r="B70" t="s">
        <v>1128</v>
      </c>
      <c r="C70" t="s">
        <v>1129</v>
      </c>
      <c r="D70" t="s">
        <v>1130</v>
      </c>
      <c r="E70" t="s">
        <v>1131</v>
      </c>
      <c r="F70" t="s">
        <v>1132</v>
      </c>
      <c r="G70" t="s">
        <v>1133</v>
      </c>
      <c r="H70" t="s">
        <v>1134</v>
      </c>
      <c r="I70" t="s">
        <v>1135</v>
      </c>
      <c r="J70" t="s">
        <v>1136</v>
      </c>
      <c r="K70" t="s">
        <v>1137</v>
      </c>
      <c r="L70" t="s">
        <v>1138</v>
      </c>
      <c r="M70" t="s">
        <v>86</v>
      </c>
      <c r="N70" t="s">
        <v>87</v>
      </c>
      <c r="O70" t="s">
        <v>1139</v>
      </c>
      <c r="P70" s="2">
        <v>42928</v>
      </c>
      <c r="Q70" s="2">
        <v>43004</v>
      </c>
      <c r="R70" t="s">
        <v>433</v>
      </c>
      <c r="S70">
        <v>4876</v>
      </c>
      <c r="T70" t="s">
        <v>1140</v>
      </c>
      <c r="U70">
        <v>6</v>
      </c>
      <c r="V70">
        <v>6</v>
      </c>
      <c r="W70" t="s">
        <v>55</v>
      </c>
      <c r="X70">
        <v>4</v>
      </c>
      <c r="Y70" s="1">
        <v>1</v>
      </c>
      <c r="Z70" t="s">
        <v>171</v>
      </c>
      <c r="AA70" t="s">
        <v>1141</v>
      </c>
      <c r="AB70" t="s">
        <v>1142</v>
      </c>
      <c r="AC70" t="s">
        <v>1143</v>
      </c>
      <c r="AD70" t="s">
        <v>136</v>
      </c>
      <c r="AE70" t="s">
        <v>1144</v>
      </c>
      <c r="AF70">
        <f t="shared" si="0"/>
        <v>0</v>
      </c>
    </row>
    <row r="71" spans="1:32" x14ac:dyDescent="0.25">
      <c r="A71">
        <v>65</v>
      </c>
      <c r="B71" t="s">
        <v>1145</v>
      </c>
      <c r="C71" t="s">
        <v>1146</v>
      </c>
      <c r="D71" t="s">
        <v>1147</v>
      </c>
      <c r="E71" t="s">
        <v>1148</v>
      </c>
      <c r="F71" t="s">
        <v>1149</v>
      </c>
      <c r="G71" t="s">
        <v>1150</v>
      </c>
      <c r="H71" t="s">
        <v>785</v>
      </c>
      <c r="I71" t="s">
        <v>1151</v>
      </c>
      <c r="J71" t="s">
        <v>1152</v>
      </c>
      <c r="K71" t="s">
        <v>1153</v>
      </c>
      <c r="L71" t="s">
        <v>1154</v>
      </c>
      <c r="M71" t="s">
        <v>108</v>
      </c>
      <c r="O71" t="s">
        <v>1155</v>
      </c>
      <c r="P71" s="2">
        <v>41821</v>
      </c>
      <c r="Q71" s="2">
        <v>42620</v>
      </c>
      <c r="R71" t="s">
        <v>635</v>
      </c>
      <c r="S71">
        <v>3716</v>
      </c>
      <c r="T71" t="s">
        <v>1156</v>
      </c>
      <c r="U71">
        <v>2</v>
      </c>
      <c r="V71">
        <v>2</v>
      </c>
      <c r="W71" t="s">
        <v>55</v>
      </c>
      <c r="X71">
        <v>3</v>
      </c>
      <c r="Y71" s="1">
        <v>0.5</v>
      </c>
      <c r="Z71" t="s">
        <v>228</v>
      </c>
      <c r="AA71" t="s">
        <v>1157</v>
      </c>
      <c r="AB71" t="s">
        <v>966</v>
      </c>
      <c r="AC71" t="s">
        <v>1158</v>
      </c>
      <c r="AD71" t="s">
        <v>116</v>
      </c>
      <c r="AE71" t="s">
        <v>1159</v>
      </c>
      <c r="AF71">
        <f t="shared" si="0"/>
        <v>2</v>
      </c>
    </row>
    <row r="72" spans="1:32" x14ac:dyDescent="0.25">
      <c r="A72">
        <v>66</v>
      </c>
      <c r="B72" t="s">
        <v>1160</v>
      </c>
      <c r="C72" t="s">
        <v>1161</v>
      </c>
      <c r="D72" t="s">
        <v>1162</v>
      </c>
      <c r="E72" t="s">
        <v>1163</v>
      </c>
      <c r="F72" t="s">
        <v>1164</v>
      </c>
      <c r="G72" t="s">
        <v>1165</v>
      </c>
      <c r="H72" t="s">
        <v>1166</v>
      </c>
      <c r="I72" t="s">
        <v>1167</v>
      </c>
      <c r="J72" t="s">
        <v>1168</v>
      </c>
      <c r="K72" t="s">
        <v>1169</v>
      </c>
      <c r="L72" t="s">
        <v>1170</v>
      </c>
      <c r="M72" t="s">
        <v>108</v>
      </c>
      <c r="N72" t="s">
        <v>129</v>
      </c>
      <c r="O72" t="s">
        <v>1171</v>
      </c>
      <c r="P72" s="2">
        <v>44489</v>
      </c>
      <c r="Q72" s="2">
        <v>43127</v>
      </c>
      <c r="R72" t="s">
        <v>635</v>
      </c>
      <c r="S72">
        <v>7140</v>
      </c>
      <c r="T72" t="s">
        <v>1172</v>
      </c>
      <c r="U72">
        <v>3</v>
      </c>
      <c r="V72">
        <v>3</v>
      </c>
      <c r="W72" t="s">
        <v>69</v>
      </c>
      <c r="X72">
        <v>1</v>
      </c>
      <c r="Y72" s="1">
        <v>0.5</v>
      </c>
      <c r="Z72" t="s">
        <v>169</v>
      </c>
      <c r="AA72" t="s">
        <v>1173</v>
      </c>
      <c r="AB72" t="s">
        <v>761</v>
      </c>
      <c r="AC72" t="s">
        <v>1174</v>
      </c>
      <c r="AD72" t="s">
        <v>155</v>
      </c>
      <c r="AE72" t="s">
        <v>1175</v>
      </c>
      <c r="AF72">
        <f t="shared" ref="AF72:AF106" si="1">FLOOR(ABS((P72-Q72)/365),1)</f>
        <v>3</v>
      </c>
    </row>
    <row r="73" spans="1:32" x14ac:dyDescent="0.25">
      <c r="A73">
        <v>67</v>
      </c>
      <c r="B73" t="s">
        <v>1176</v>
      </c>
      <c r="C73" t="s">
        <v>1177</v>
      </c>
      <c r="D73" t="s">
        <v>1178</v>
      </c>
      <c r="E73" t="s">
        <v>1179</v>
      </c>
      <c r="F73" t="s">
        <v>1180</v>
      </c>
      <c r="G73" t="s">
        <v>1181</v>
      </c>
      <c r="H73" t="s">
        <v>1182</v>
      </c>
      <c r="I73" t="s">
        <v>1183</v>
      </c>
      <c r="J73" t="s">
        <v>1184</v>
      </c>
      <c r="K73" t="s">
        <v>1185</v>
      </c>
      <c r="L73" t="s">
        <v>1186</v>
      </c>
      <c r="M73" t="s">
        <v>108</v>
      </c>
      <c r="N73" t="s">
        <v>207</v>
      </c>
      <c r="O73" t="s">
        <v>1187</v>
      </c>
      <c r="P73" s="2">
        <v>43523</v>
      </c>
      <c r="Q73" s="2">
        <v>42964</v>
      </c>
      <c r="R73" t="s">
        <v>89</v>
      </c>
      <c r="S73">
        <v>3304</v>
      </c>
      <c r="T73" t="s">
        <v>1188</v>
      </c>
      <c r="U73">
        <v>7</v>
      </c>
      <c r="V73">
        <v>7</v>
      </c>
      <c r="W73" t="s">
        <v>55</v>
      </c>
      <c r="X73">
        <v>1</v>
      </c>
      <c r="Y73" s="1">
        <v>0.75</v>
      </c>
      <c r="Z73" t="s">
        <v>89</v>
      </c>
      <c r="AA73" t="s">
        <v>153</v>
      </c>
      <c r="AB73" t="s">
        <v>333</v>
      </c>
      <c r="AC73" t="s">
        <v>1189</v>
      </c>
      <c r="AD73" t="s">
        <v>155</v>
      </c>
      <c r="AE73" t="s">
        <v>1190</v>
      </c>
      <c r="AF73">
        <f t="shared" si="1"/>
        <v>1</v>
      </c>
    </row>
    <row r="74" spans="1:32" x14ac:dyDescent="0.25">
      <c r="A74">
        <v>68</v>
      </c>
      <c r="B74" t="s">
        <v>1191</v>
      </c>
      <c r="C74" t="s">
        <v>1192</v>
      </c>
      <c r="D74" t="s">
        <v>1193</v>
      </c>
      <c r="E74" t="s">
        <v>1194</v>
      </c>
      <c r="F74" t="s">
        <v>1195</v>
      </c>
      <c r="G74" t="s">
        <v>1196</v>
      </c>
      <c r="H74" t="s">
        <v>1197</v>
      </c>
      <c r="I74" t="s">
        <v>1198</v>
      </c>
      <c r="J74" t="s">
        <v>1199</v>
      </c>
      <c r="K74" t="s">
        <v>1200</v>
      </c>
      <c r="L74" t="s">
        <v>1201</v>
      </c>
      <c r="M74" t="s">
        <v>108</v>
      </c>
      <c r="N74" t="s">
        <v>109</v>
      </c>
      <c r="O74" t="s">
        <v>1202</v>
      </c>
      <c r="P74" s="2">
        <v>38644</v>
      </c>
      <c r="Q74" s="2">
        <v>43460</v>
      </c>
      <c r="R74" t="s">
        <v>468</v>
      </c>
      <c r="S74">
        <v>4362</v>
      </c>
      <c r="T74" t="s">
        <v>1203</v>
      </c>
      <c r="U74">
        <v>5</v>
      </c>
      <c r="V74">
        <v>5</v>
      </c>
      <c r="W74" t="s">
        <v>45</v>
      </c>
      <c r="X74">
        <v>4</v>
      </c>
      <c r="Y74" s="1">
        <v>1</v>
      </c>
      <c r="Z74" t="s">
        <v>416</v>
      </c>
      <c r="AA74" t="s">
        <v>1204</v>
      </c>
      <c r="AB74" t="s">
        <v>1205</v>
      </c>
      <c r="AC74" t="s">
        <v>1206</v>
      </c>
      <c r="AD74" t="s">
        <v>155</v>
      </c>
      <c r="AE74" t="s">
        <v>1207</v>
      </c>
      <c r="AF74">
        <f t="shared" si="1"/>
        <v>13</v>
      </c>
    </row>
    <row r="75" spans="1:32" x14ac:dyDescent="0.25">
      <c r="A75">
        <v>69</v>
      </c>
      <c r="B75" t="s">
        <v>1208</v>
      </c>
      <c r="C75" t="s">
        <v>1209</v>
      </c>
      <c r="D75" t="s">
        <v>1210</v>
      </c>
      <c r="E75" t="s">
        <v>1211</v>
      </c>
      <c r="F75" t="s">
        <v>1212</v>
      </c>
      <c r="G75" t="s">
        <v>1213</v>
      </c>
      <c r="H75" t="s">
        <v>1214</v>
      </c>
      <c r="I75" t="s">
        <v>1215</v>
      </c>
      <c r="J75" t="s">
        <v>1216</v>
      </c>
      <c r="K75" t="s">
        <v>1217</v>
      </c>
      <c r="L75" t="s">
        <v>1218</v>
      </c>
      <c r="M75" t="s">
        <v>108</v>
      </c>
      <c r="N75" t="s">
        <v>129</v>
      </c>
      <c r="O75" t="s">
        <v>1219</v>
      </c>
      <c r="P75" s="2">
        <v>40324</v>
      </c>
      <c r="Q75" s="2">
        <v>43520</v>
      </c>
      <c r="R75" t="s">
        <v>416</v>
      </c>
      <c r="S75">
        <v>6619</v>
      </c>
      <c r="T75" t="s">
        <v>1220</v>
      </c>
      <c r="U75">
        <v>8</v>
      </c>
      <c r="V75">
        <v>8</v>
      </c>
      <c r="W75" t="s">
        <v>45</v>
      </c>
      <c r="X75">
        <v>4</v>
      </c>
      <c r="Y75" s="1">
        <v>2.5</v>
      </c>
      <c r="Z75" t="s">
        <v>210</v>
      </c>
      <c r="AA75" t="s">
        <v>400</v>
      </c>
      <c r="AB75" t="s">
        <v>1221</v>
      </c>
      <c r="AC75" t="s">
        <v>1222</v>
      </c>
      <c r="AD75" t="s">
        <v>386</v>
      </c>
      <c r="AE75" t="s">
        <v>1223</v>
      </c>
      <c r="AF75">
        <f t="shared" si="1"/>
        <v>8</v>
      </c>
    </row>
    <row r="76" spans="1:32" x14ac:dyDescent="0.25">
      <c r="A76">
        <v>70</v>
      </c>
      <c r="B76" t="s">
        <v>1224</v>
      </c>
      <c r="C76" t="s">
        <v>1225</v>
      </c>
      <c r="D76" t="s">
        <v>339</v>
      </c>
      <c r="E76" t="s">
        <v>1226</v>
      </c>
      <c r="F76" t="s">
        <v>1227</v>
      </c>
      <c r="G76" t="s">
        <v>1228</v>
      </c>
      <c r="H76" t="s">
        <v>1229</v>
      </c>
      <c r="I76" t="s">
        <v>1230</v>
      </c>
      <c r="J76" t="s">
        <v>1231</v>
      </c>
      <c r="K76" t="s">
        <v>1232</v>
      </c>
      <c r="L76" t="s">
        <v>1233</v>
      </c>
      <c r="M76" t="s">
        <v>108</v>
      </c>
      <c r="N76" t="s">
        <v>109</v>
      </c>
      <c r="O76" t="s">
        <v>1234</v>
      </c>
      <c r="P76" s="2">
        <v>38609</v>
      </c>
      <c r="Q76" s="2">
        <v>42190</v>
      </c>
      <c r="R76" t="s">
        <v>89</v>
      </c>
      <c r="S76">
        <v>5562</v>
      </c>
      <c r="T76" t="s">
        <v>1235</v>
      </c>
      <c r="U76">
        <v>8</v>
      </c>
      <c r="V76">
        <v>8</v>
      </c>
      <c r="W76" t="s">
        <v>45</v>
      </c>
      <c r="X76">
        <v>1.5</v>
      </c>
      <c r="Y76" s="1">
        <v>2</v>
      </c>
      <c r="Z76" t="s">
        <v>190</v>
      </c>
      <c r="AA76" t="s">
        <v>452</v>
      </c>
      <c r="AB76" t="s">
        <v>1236</v>
      </c>
      <c r="AC76" t="s">
        <v>1237</v>
      </c>
      <c r="AD76" t="s">
        <v>175</v>
      </c>
      <c r="AE76" t="s">
        <v>1238</v>
      </c>
      <c r="AF76">
        <f t="shared" si="1"/>
        <v>9</v>
      </c>
    </row>
    <row r="77" spans="1:32" x14ac:dyDescent="0.25">
      <c r="A77">
        <v>71</v>
      </c>
      <c r="B77" t="s">
        <v>1020</v>
      </c>
      <c r="C77" t="s">
        <v>1239</v>
      </c>
      <c r="D77" t="s">
        <v>1240</v>
      </c>
      <c r="E77" t="s">
        <v>1241</v>
      </c>
      <c r="F77" t="s">
        <v>1242</v>
      </c>
      <c r="G77" t="s">
        <v>1243</v>
      </c>
      <c r="H77" t="s">
        <v>445</v>
      </c>
      <c r="I77" t="s">
        <v>1244</v>
      </c>
      <c r="J77" t="s">
        <v>1245</v>
      </c>
      <c r="K77" t="s">
        <v>1246</v>
      </c>
      <c r="L77" t="s">
        <v>1247</v>
      </c>
      <c r="M77" t="s">
        <v>86</v>
      </c>
      <c r="O77" t="s">
        <v>1248</v>
      </c>
      <c r="P77" s="2">
        <v>41730</v>
      </c>
      <c r="Q77" s="2">
        <v>41454</v>
      </c>
      <c r="R77" t="s">
        <v>190</v>
      </c>
      <c r="S77">
        <v>4160</v>
      </c>
      <c r="T77" t="s">
        <v>1249</v>
      </c>
      <c r="U77">
        <v>3</v>
      </c>
      <c r="V77">
        <v>3</v>
      </c>
      <c r="W77" t="s">
        <v>69</v>
      </c>
      <c r="X77">
        <v>3</v>
      </c>
      <c r="Y77" s="1">
        <v>0.5</v>
      </c>
      <c r="Z77" t="s">
        <v>151</v>
      </c>
      <c r="AA77" t="s">
        <v>435</v>
      </c>
      <c r="AB77" t="s">
        <v>1250</v>
      </c>
      <c r="AC77" t="s">
        <v>1251</v>
      </c>
      <c r="AD77" t="s">
        <v>386</v>
      </c>
      <c r="AE77" t="s">
        <v>1252</v>
      </c>
      <c r="AF77">
        <f t="shared" si="1"/>
        <v>0</v>
      </c>
    </row>
    <row r="78" spans="1:32" x14ac:dyDescent="0.25">
      <c r="A78">
        <v>72</v>
      </c>
      <c r="B78" t="s">
        <v>1253</v>
      </c>
      <c r="C78" t="s">
        <v>1254</v>
      </c>
      <c r="D78" t="s">
        <v>1255</v>
      </c>
      <c r="E78" t="s">
        <v>1256</v>
      </c>
      <c r="F78" t="s">
        <v>1257</v>
      </c>
      <c r="G78" t="s">
        <v>1258</v>
      </c>
      <c r="H78" t="s">
        <v>1259</v>
      </c>
      <c r="I78" t="s">
        <v>1260</v>
      </c>
      <c r="J78" t="s">
        <v>1261</v>
      </c>
      <c r="K78" t="s">
        <v>1262</v>
      </c>
      <c r="L78" t="s">
        <v>1263</v>
      </c>
      <c r="M78" t="s">
        <v>86</v>
      </c>
      <c r="O78" t="s">
        <v>1264</v>
      </c>
      <c r="P78" s="2">
        <v>38670</v>
      </c>
      <c r="Q78" s="2">
        <v>38480</v>
      </c>
      <c r="R78" t="s">
        <v>210</v>
      </c>
      <c r="S78">
        <v>4567</v>
      </c>
      <c r="T78" t="s">
        <v>1265</v>
      </c>
      <c r="U78">
        <v>6</v>
      </c>
      <c r="V78">
        <v>6</v>
      </c>
      <c r="W78" t="s">
        <v>69</v>
      </c>
      <c r="X78">
        <v>1</v>
      </c>
      <c r="Y78" s="1">
        <v>0.5</v>
      </c>
      <c r="Z78" t="s">
        <v>210</v>
      </c>
      <c r="AA78" t="s">
        <v>966</v>
      </c>
      <c r="AB78" t="s">
        <v>871</v>
      </c>
      <c r="AC78" t="s">
        <v>1266</v>
      </c>
      <c r="AD78" t="s">
        <v>136</v>
      </c>
      <c r="AE78" t="s">
        <v>353</v>
      </c>
      <c r="AF78">
        <f t="shared" si="1"/>
        <v>0</v>
      </c>
    </row>
    <row r="79" spans="1:32" x14ac:dyDescent="0.25">
      <c r="A79">
        <v>73</v>
      </c>
      <c r="B79" t="s">
        <v>1267</v>
      </c>
      <c r="C79" t="s">
        <v>539</v>
      </c>
      <c r="D79" t="s">
        <v>1268</v>
      </c>
      <c r="E79" t="s">
        <v>1269</v>
      </c>
      <c r="F79" t="s">
        <v>1270</v>
      </c>
      <c r="G79" t="s">
        <v>1271</v>
      </c>
      <c r="H79" t="s">
        <v>144</v>
      </c>
      <c r="I79" t="s">
        <v>1272</v>
      </c>
      <c r="J79" t="s">
        <v>1273</v>
      </c>
      <c r="K79" t="s">
        <v>1274</v>
      </c>
      <c r="L79" t="s">
        <v>1275</v>
      </c>
      <c r="M79" t="s">
        <v>108</v>
      </c>
      <c r="N79" t="s">
        <v>207</v>
      </c>
      <c r="O79" t="s">
        <v>1276</v>
      </c>
      <c r="P79" s="2">
        <v>41983</v>
      </c>
      <c r="Q79" s="2">
        <v>38731</v>
      </c>
      <c r="R79" t="s">
        <v>112</v>
      </c>
      <c r="S79">
        <v>4524</v>
      </c>
      <c r="T79" t="s">
        <v>1277</v>
      </c>
      <c r="U79">
        <v>9</v>
      </c>
      <c r="V79">
        <v>9</v>
      </c>
      <c r="W79" t="s">
        <v>69</v>
      </c>
      <c r="X79">
        <v>2</v>
      </c>
      <c r="Y79" s="1">
        <v>0.75</v>
      </c>
      <c r="Z79" t="s">
        <v>171</v>
      </c>
      <c r="AA79" t="s">
        <v>730</v>
      </c>
      <c r="AB79" t="s">
        <v>1278</v>
      </c>
      <c r="AC79" t="s">
        <v>1279</v>
      </c>
      <c r="AD79" t="s">
        <v>175</v>
      </c>
      <c r="AE79" t="s">
        <v>1280</v>
      </c>
      <c r="AF79">
        <f t="shared" si="1"/>
        <v>8</v>
      </c>
    </row>
    <row r="80" spans="1:32" x14ac:dyDescent="0.25">
      <c r="A80">
        <v>74</v>
      </c>
      <c r="B80" t="s">
        <v>1281</v>
      </c>
      <c r="C80" t="s">
        <v>622</v>
      </c>
      <c r="D80" t="s">
        <v>525</v>
      </c>
      <c r="E80" t="s">
        <v>1282</v>
      </c>
      <c r="F80" t="s">
        <v>1283</v>
      </c>
      <c r="G80" t="s">
        <v>1284</v>
      </c>
      <c r="H80" t="s">
        <v>1285</v>
      </c>
      <c r="I80" t="s">
        <v>1286</v>
      </c>
      <c r="J80" t="s">
        <v>1287</v>
      </c>
      <c r="K80" t="s">
        <v>1288</v>
      </c>
      <c r="L80" t="s">
        <v>1289</v>
      </c>
      <c r="M80" t="s">
        <v>108</v>
      </c>
      <c r="N80" t="s">
        <v>129</v>
      </c>
      <c r="O80" t="s">
        <v>1290</v>
      </c>
      <c r="P80" s="2">
        <v>39027</v>
      </c>
      <c r="Q80" s="2">
        <v>41583</v>
      </c>
      <c r="R80" t="s">
        <v>131</v>
      </c>
      <c r="S80">
        <v>5093</v>
      </c>
      <c r="T80" t="s">
        <v>1291</v>
      </c>
      <c r="U80">
        <v>3</v>
      </c>
      <c r="V80">
        <v>3</v>
      </c>
      <c r="W80" t="s">
        <v>55</v>
      </c>
      <c r="X80">
        <v>2</v>
      </c>
      <c r="Y80" s="1">
        <v>2</v>
      </c>
      <c r="Z80" t="s">
        <v>635</v>
      </c>
      <c r="AA80" t="s">
        <v>172</v>
      </c>
      <c r="AB80" t="s">
        <v>1292</v>
      </c>
      <c r="AC80" t="s">
        <v>1293</v>
      </c>
      <c r="AD80" t="s">
        <v>95</v>
      </c>
      <c r="AE80" t="s">
        <v>1294</v>
      </c>
      <c r="AF80">
        <f t="shared" si="1"/>
        <v>7</v>
      </c>
    </row>
    <row r="81" spans="1:32" x14ac:dyDescent="0.25">
      <c r="A81">
        <v>75</v>
      </c>
      <c r="B81" t="s">
        <v>1295</v>
      </c>
      <c r="C81" t="s">
        <v>1296</v>
      </c>
      <c r="D81" t="s">
        <v>1297</v>
      </c>
      <c r="E81" t="s">
        <v>1298</v>
      </c>
      <c r="F81" t="s">
        <v>1299</v>
      </c>
      <c r="G81" t="s">
        <v>1300</v>
      </c>
      <c r="H81" t="s">
        <v>1301</v>
      </c>
      <c r="I81" t="s">
        <v>1302</v>
      </c>
      <c r="J81" t="s">
        <v>1303</v>
      </c>
      <c r="K81" t="s">
        <v>1304</v>
      </c>
      <c r="L81" t="s">
        <v>1305</v>
      </c>
      <c r="M81" t="s">
        <v>108</v>
      </c>
      <c r="N81" t="s">
        <v>207</v>
      </c>
      <c r="O81" t="s">
        <v>1306</v>
      </c>
      <c r="P81" s="2">
        <v>39153</v>
      </c>
      <c r="Q81" s="2">
        <v>37778</v>
      </c>
      <c r="R81" t="s">
        <v>433</v>
      </c>
      <c r="S81">
        <v>6296</v>
      </c>
      <c r="T81" t="s">
        <v>1307</v>
      </c>
      <c r="U81">
        <v>5</v>
      </c>
      <c r="V81">
        <v>5</v>
      </c>
      <c r="W81" t="s">
        <v>45</v>
      </c>
      <c r="X81">
        <v>2</v>
      </c>
      <c r="Y81" s="1">
        <v>0.5</v>
      </c>
      <c r="Z81" t="s">
        <v>210</v>
      </c>
      <c r="AA81" t="s">
        <v>1016</v>
      </c>
      <c r="AB81" t="s">
        <v>1308</v>
      </c>
      <c r="AC81" t="s">
        <v>1309</v>
      </c>
      <c r="AD81" t="s">
        <v>175</v>
      </c>
      <c r="AE81" t="s">
        <v>1310</v>
      </c>
      <c r="AF81">
        <f t="shared" si="1"/>
        <v>3</v>
      </c>
    </row>
    <row r="82" spans="1:32" x14ac:dyDescent="0.25">
      <c r="A82">
        <v>76</v>
      </c>
      <c r="B82" t="s">
        <v>338</v>
      </c>
      <c r="C82" t="s">
        <v>1311</v>
      </c>
      <c r="D82" t="s">
        <v>1312</v>
      </c>
      <c r="E82" t="s">
        <v>1313</v>
      </c>
      <c r="F82" t="s">
        <v>1314</v>
      </c>
      <c r="G82" t="s">
        <v>1315</v>
      </c>
      <c r="H82" t="s">
        <v>1316</v>
      </c>
      <c r="I82" t="s">
        <v>1317</v>
      </c>
      <c r="J82" t="s">
        <v>1318</v>
      </c>
      <c r="K82" t="s">
        <v>1319</v>
      </c>
      <c r="L82" t="s">
        <v>1320</v>
      </c>
      <c r="M82" t="s">
        <v>86</v>
      </c>
      <c r="N82" t="s">
        <v>87</v>
      </c>
      <c r="O82" t="s">
        <v>1321</v>
      </c>
      <c r="P82" s="2">
        <v>38109</v>
      </c>
      <c r="Q82" s="2">
        <v>40265</v>
      </c>
      <c r="R82" t="s">
        <v>228</v>
      </c>
      <c r="S82">
        <v>3532</v>
      </c>
      <c r="T82" t="s">
        <v>1322</v>
      </c>
      <c r="U82">
        <v>7</v>
      </c>
      <c r="V82">
        <v>7</v>
      </c>
      <c r="W82" t="s">
        <v>45</v>
      </c>
      <c r="X82">
        <v>3</v>
      </c>
      <c r="Y82" s="1">
        <v>0.5</v>
      </c>
      <c r="Z82" t="s">
        <v>131</v>
      </c>
      <c r="AA82" t="s">
        <v>1173</v>
      </c>
      <c r="AB82" t="s">
        <v>967</v>
      </c>
      <c r="AC82" t="s">
        <v>1323</v>
      </c>
      <c r="AD82" t="s">
        <v>95</v>
      </c>
      <c r="AE82" t="s">
        <v>1324</v>
      </c>
      <c r="AF82">
        <f t="shared" si="1"/>
        <v>5</v>
      </c>
    </row>
    <row r="83" spans="1:32" x14ac:dyDescent="0.25">
      <c r="A83">
        <v>77</v>
      </c>
      <c r="B83" t="s">
        <v>1325</v>
      </c>
      <c r="C83" t="s">
        <v>158</v>
      </c>
      <c r="D83" t="s">
        <v>1326</v>
      </c>
      <c r="E83" t="s">
        <v>1327</v>
      </c>
      <c r="F83" t="s">
        <v>1328</v>
      </c>
      <c r="G83" t="s">
        <v>1329</v>
      </c>
      <c r="H83" t="s">
        <v>1166</v>
      </c>
      <c r="I83" t="s">
        <v>1330</v>
      </c>
      <c r="J83" t="s">
        <v>1331</v>
      </c>
      <c r="K83" t="s">
        <v>1332</v>
      </c>
      <c r="L83" t="s">
        <v>1333</v>
      </c>
      <c r="M83" t="s">
        <v>86</v>
      </c>
      <c r="N83" t="s">
        <v>87</v>
      </c>
      <c r="O83" t="s">
        <v>1334</v>
      </c>
      <c r="P83" s="2">
        <v>38789</v>
      </c>
      <c r="Q83" s="2">
        <v>40576</v>
      </c>
      <c r="R83" t="s">
        <v>433</v>
      </c>
      <c r="S83">
        <v>9802</v>
      </c>
      <c r="T83" t="s">
        <v>1335</v>
      </c>
      <c r="U83">
        <v>2</v>
      </c>
      <c r="V83">
        <v>2</v>
      </c>
      <c r="W83" t="s">
        <v>55</v>
      </c>
      <c r="X83">
        <v>2</v>
      </c>
      <c r="Y83" s="1">
        <v>0.5</v>
      </c>
      <c r="Z83" t="s">
        <v>416</v>
      </c>
      <c r="AA83" t="s">
        <v>93</v>
      </c>
      <c r="AB83" t="s">
        <v>1336</v>
      </c>
      <c r="AC83" t="s">
        <v>1337</v>
      </c>
      <c r="AD83" t="s">
        <v>155</v>
      </c>
      <c r="AE83" t="s">
        <v>1338</v>
      </c>
      <c r="AF83">
        <f t="shared" si="1"/>
        <v>4</v>
      </c>
    </row>
    <row r="84" spans="1:32" x14ac:dyDescent="0.25">
      <c r="A84">
        <v>78</v>
      </c>
      <c r="B84" t="s">
        <v>1339</v>
      </c>
      <c r="C84" t="s">
        <v>1340</v>
      </c>
      <c r="D84" t="s">
        <v>1341</v>
      </c>
      <c r="E84" t="s">
        <v>1342</v>
      </c>
      <c r="F84" t="s">
        <v>1343</v>
      </c>
      <c r="G84" t="s">
        <v>1344</v>
      </c>
      <c r="H84" t="s">
        <v>1345</v>
      </c>
      <c r="I84" t="s">
        <v>1346</v>
      </c>
      <c r="J84" t="s">
        <v>1347</v>
      </c>
      <c r="K84" t="s">
        <v>1348</v>
      </c>
      <c r="L84" t="s">
        <v>1349</v>
      </c>
      <c r="M84" t="s">
        <v>86</v>
      </c>
      <c r="N84" t="s">
        <v>87</v>
      </c>
      <c r="O84" t="s">
        <v>1350</v>
      </c>
      <c r="P84" s="2">
        <v>43577</v>
      </c>
      <c r="Q84" s="2">
        <v>41688</v>
      </c>
      <c r="R84" t="s">
        <v>171</v>
      </c>
      <c r="S84">
        <v>3154</v>
      </c>
      <c r="T84" t="s">
        <v>1351</v>
      </c>
      <c r="U84">
        <v>1</v>
      </c>
      <c r="V84">
        <v>1</v>
      </c>
      <c r="W84" t="s">
        <v>55</v>
      </c>
      <c r="X84">
        <v>1.5</v>
      </c>
      <c r="Y84" s="1">
        <v>1.5</v>
      </c>
      <c r="Z84" t="s">
        <v>190</v>
      </c>
      <c r="AA84" t="s">
        <v>519</v>
      </c>
      <c r="AB84" t="s">
        <v>470</v>
      </c>
      <c r="AC84" t="s">
        <v>1352</v>
      </c>
      <c r="AD84" t="s">
        <v>386</v>
      </c>
      <c r="AE84" t="s">
        <v>1353</v>
      </c>
      <c r="AF84">
        <f t="shared" si="1"/>
        <v>5</v>
      </c>
    </row>
    <row r="85" spans="1:32" x14ac:dyDescent="0.25">
      <c r="A85">
        <v>79</v>
      </c>
      <c r="B85" t="s">
        <v>1003</v>
      </c>
      <c r="C85" t="s">
        <v>1354</v>
      </c>
      <c r="D85" t="s">
        <v>1355</v>
      </c>
      <c r="E85" t="s">
        <v>1356</v>
      </c>
      <c r="F85" t="s">
        <v>1357</v>
      </c>
      <c r="G85" t="s">
        <v>1358</v>
      </c>
      <c r="H85" t="s">
        <v>896</v>
      </c>
      <c r="I85" t="s">
        <v>1359</v>
      </c>
      <c r="J85" t="s">
        <v>1360</v>
      </c>
      <c r="K85" t="s">
        <v>1361</v>
      </c>
      <c r="L85" t="s">
        <v>1362</v>
      </c>
      <c r="M85" t="s">
        <v>86</v>
      </c>
      <c r="N85" t="s">
        <v>87</v>
      </c>
      <c r="O85" t="s">
        <v>1363</v>
      </c>
      <c r="P85" s="2">
        <v>38599</v>
      </c>
      <c r="Q85" s="2">
        <v>39128</v>
      </c>
      <c r="R85" t="s">
        <v>169</v>
      </c>
      <c r="S85">
        <v>3622</v>
      </c>
      <c r="T85" t="s">
        <v>1364</v>
      </c>
      <c r="U85">
        <v>3</v>
      </c>
      <c r="V85">
        <v>3</v>
      </c>
      <c r="W85" t="s">
        <v>55</v>
      </c>
      <c r="X85">
        <v>4</v>
      </c>
      <c r="Y85" s="1">
        <v>2.5</v>
      </c>
      <c r="Z85" t="s">
        <v>171</v>
      </c>
      <c r="AA85" t="s">
        <v>1365</v>
      </c>
      <c r="AB85" t="s">
        <v>1366</v>
      </c>
      <c r="AC85" t="s">
        <v>1367</v>
      </c>
      <c r="AD85" t="s">
        <v>386</v>
      </c>
      <c r="AE85" t="s">
        <v>1368</v>
      </c>
      <c r="AF85">
        <f t="shared" si="1"/>
        <v>1</v>
      </c>
    </row>
    <row r="86" spans="1:32" x14ac:dyDescent="0.25">
      <c r="A86">
        <v>80</v>
      </c>
      <c r="B86" t="s">
        <v>1079</v>
      </c>
      <c r="C86" t="s">
        <v>1369</v>
      </c>
      <c r="D86" t="s">
        <v>1370</v>
      </c>
      <c r="E86" t="s">
        <v>1371</v>
      </c>
      <c r="F86" t="s">
        <v>1372</v>
      </c>
      <c r="G86" t="s">
        <v>1373</v>
      </c>
      <c r="H86" t="s">
        <v>1374</v>
      </c>
      <c r="I86" t="s">
        <v>1375</v>
      </c>
      <c r="J86" t="s">
        <v>1376</v>
      </c>
      <c r="K86" t="s">
        <v>1377</v>
      </c>
      <c r="L86" t="s">
        <v>1378</v>
      </c>
      <c r="M86" t="s">
        <v>86</v>
      </c>
      <c r="N86" t="s">
        <v>87</v>
      </c>
      <c r="O86" t="s">
        <v>1379</v>
      </c>
      <c r="P86" s="2">
        <v>40257</v>
      </c>
      <c r="Q86" s="2">
        <v>41099</v>
      </c>
      <c r="R86" t="s">
        <v>112</v>
      </c>
      <c r="S86">
        <v>3620</v>
      </c>
      <c r="T86" t="s">
        <v>1380</v>
      </c>
      <c r="U86">
        <v>4</v>
      </c>
      <c r="V86">
        <v>4</v>
      </c>
      <c r="W86" t="s">
        <v>69</v>
      </c>
      <c r="X86">
        <v>4</v>
      </c>
      <c r="Y86" s="1">
        <v>1</v>
      </c>
      <c r="Z86" t="s">
        <v>228</v>
      </c>
      <c r="AA86" t="s">
        <v>871</v>
      </c>
      <c r="AB86" t="s">
        <v>887</v>
      </c>
      <c r="AC86" t="s">
        <v>1381</v>
      </c>
      <c r="AD86" t="s">
        <v>175</v>
      </c>
      <c r="AE86" t="s">
        <v>1382</v>
      </c>
      <c r="AF86">
        <f t="shared" si="1"/>
        <v>2</v>
      </c>
    </row>
    <row r="87" spans="1:32" x14ac:dyDescent="0.25">
      <c r="A87">
        <v>81</v>
      </c>
      <c r="B87" t="s">
        <v>1383</v>
      </c>
      <c r="C87" t="s">
        <v>860</v>
      </c>
      <c r="D87" t="s">
        <v>1384</v>
      </c>
      <c r="E87" t="s">
        <v>1385</v>
      </c>
      <c r="F87" t="s">
        <v>1386</v>
      </c>
      <c r="G87" t="s">
        <v>1387</v>
      </c>
      <c r="H87" t="s">
        <v>202</v>
      </c>
      <c r="I87" t="s">
        <v>1388</v>
      </c>
      <c r="J87" t="s">
        <v>1389</v>
      </c>
      <c r="K87" t="s">
        <v>1390</v>
      </c>
      <c r="L87" t="s">
        <v>1391</v>
      </c>
      <c r="M87" t="s">
        <v>108</v>
      </c>
      <c r="N87" t="s">
        <v>207</v>
      </c>
      <c r="O87" t="s">
        <v>1392</v>
      </c>
      <c r="P87" s="2">
        <v>39128</v>
      </c>
      <c r="Q87" s="2">
        <v>43847</v>
      </c>
      <c r="R87" t="s">
        <v>131</v>
      </c>
      <c r="S87">
        <v>4254</v>
      </c>
      <c r="T87" t="s">
        <v>1393</v>
      </c>
      <c r="U87">
        <v>7</v>
      </c>
      <c r="V87">
        <v>7</v>
      </c>
      <c r="W87" t="s">
        <v>69</v>
      </c>
      <c r="X87">
        <v>4</v>
      </c>
      <c r="Y87" s="1">
        <v>0.5</v>
      </c>
      <c r="Z87" t="s">
        <v>228</v>
      </c>
      <c r="AA87" t="s">
        <v>470</v>
      </c>
      <c r="AB87" t="s">
        <v>317</v>
      </c>
      <c r="AC87" t="s">
        <v>1394</v>
      </c>
      <c r="AD87" t="s">
        <v>95</v>
      </c>
      <c r="AE87" t="s">
        <v>1395</v>
      </c>
      <c r="AF87">
        <f t="shared" si="1"/>
        <v>12</v>
      </c>
    </row>
    <row r="88" spans="1:32" x14ac:dyDescent="0.25">
      <c r="A88">
        <v>82</v>
      </c>
      <c r="B88" t="s">
        <v>1396</v>
      </c>
      <c r="C88" t="s">
        <v>1397</v>
      </c>
      <c r="D88" t="s">
        <v>1398</v>
      </c>
      <c r="E88" t="s">
        <v>1399</v>
      </c>
      <c r="F88" t="s">
        <v>1400</v>
      </c>
      <c r="G88" t="s">
        <v>1401</v>
      </c>
      <c r="H88" t="s">
        <v>1402</v>
      </c>
      <c r="I88" t="s">
        <v>1403</v>
      </c>
      <c r="J88" t="s">
        <v>1404</v>
      </c>
      <c r="K88" t="s">
        <v>1405</v>
      </c>
      <c r="L88" t="s">
        <v>1406</v>
      </c>
      <c r="M88" t="s">
        <v>108</v>
      </c>
      <c r="N88" t="s">
        <v>109</v>
      </c>
      <c r="O88" t="s">
        <v>1407</v>
      </c>
      <c r="P88" s="2">
        <v>44130</v>
      </c>
      <c r="Q88" s="2">
        <v>39207</v>
      </c>
      <c r="R88" t="s">
        <v>171</v>
      </c>
      <c r="S88">
        <v>4224</v>
      </c>
      <c r="T88" t="s">
        <v>1408</v>
      </c>
      <c r="U88">
        <v>7</v>
      </c>
      <c r="V88">
        <v>7</v>
      </c>
      <c r="W88" t="s">
        <v>69</v>
      </c>
      <c r="X88">
        <v>2</v>
      </c>
      <c r="Y88" s="1">
        <v>1.5</v>
      </c>
      <c r="Z88" t="s">
        <v>263</v>
      </c>
      <c r="AA88" t="s">
        <v>334</v>
      </c>
      <c r="AB88" t="s">
        <v>1409</v>
      </c>
      <c r="AC88" t="s">
        <v>1410</v>
      </c>
      <c r="AD88" t="s">
        <v>386</v>
      </c>
      <c r="AE88" t="s">
        <v>1411</v>
      </c>
      <c r="AF88">
        <f t="shared" si="1"/>
        <v>13</v>
      </c>
    </row>
    <row r="89" spans="1:32" x14ac:dyDescent="0.25">
      <c r="A89">
        <v>83</v>
      </c>
      <c r="B89" t="s">
        <v>1412</v>
      </c>
      <c r="C89" t="s">
        <v>606</v>
      </c>
      <c r="D89" t="s">
        <v>1413</v>
      </c>
      <c r="E89" t="s">
        <v>1414</v>
      </c>
      <c r="F89" t="s">
        <v>1415</v>
      </c>
      <c r="G89" t="s">
        <v>1416</v>
      </c>
      <c r="H89" t="s">
        <v>1417</v>
      </c>
      <c r="I89" t="s">
        <v>1418</v>
      </c>
      <c r="J89" t="s">
        <v>1419</v>
      </c>
      <c r="K89" t="s">
        <v>1420</v>
      </c>
      <c r="L89" t="s">
        <v>1421</v>
      </c>
      <c r="M89" t="s">
        <v>86</v>
      </c>
      <c r="N89" t="s">
        <v>87</v>
      </c>
      <c r="O89" t="s">
        <v>1422</v>
      </c>
      <c r="P89" s="2">
        <v>39186</v>
      </c>
      <c r="Q89" s="2">
        <v>42867</v>
      </c>
      <c r="R89" t="s">
        <v>263</v>
      </c>
      <c r="S89">
        <v>5275</v>
      </c>
      <c r="T89" t="s">
        <v>1423</v>
      </c>
      <c r="U89">
        <v>4</v>
      </c>
      <c r="V89">
        <v>4</v>
      </c>
      <c r="W89" t="s">
        <v>55</v>
      </c>
      <c r="X89">
        <v>1</v>
      </c>
      <c r="Y89" s="1">
        <v>0.5</v>
      </c>
      <c r="Z89" t="s">
        <v>416</v>
      </c>
      <c r="AA89" t="s">
        <v>1424</v>
      </c>
      <c r="AB89" t="s">
        <v>903</v>
      </c>
      <c r="AC89" t="s">
        <v>1425</v>
      </c>
      <c r="AD89" t="s">
        <v>175</v>
      </c>
      <c r="AE89" t="s">
        <v>1426</v>
      </c>
      <c r="AF89">
        <f t="shared" si="1"/>
        <v>10</v>
      </c>
    </row>
    <row r="90" spans="1:32" x14ac:dyDescent="0.25">
      <c r="A90">
        <v>84</v>
      </c>
      <c r="B90" t="s">
        <v>1427</v>
      </c>
      <c r="C90" t="s">
        <v>1428</v>
      </c>
      <c r="D90" t="s">
        <v>1429</v>
      </c>
      <c r="E90" t="s">
        <v>1430</v>
      </c>
      <c r="F90" t="s">
        <v>1431</v>
      </c>
      <c r="G90" t="s">
        <v>1432</v>
      </c>
      <c r="H90" t="s">
        <v>645</v>
      </c>
      <c r="I90" t="s">
        <v>1433</v>
      </c>
      <c r="J90" t="s">
        <v>1434</v>
      </c>
      <c r="K90" t="s">
        <v>1435</v>
      </c>
      <c r="L90" t="s">
        <v>1436</v>
      </c>
      <c r="M90" t="s">
        <v>108</v>
      </c>
      <c r="N90" t="s">
        <v>207</v>
      </c>
      <c r="O90" t="s">
        <v>1437</v>
      </c>
      <c r="P90" s="2">
        <v>37891</v>
      </c>
      <c r="Q90" s="2">
        <v>42231</v>
      </c>
      <c r="R90" t="s">
        <v>433</v>
      </c>
      <c r="S90">
        <v>9350</v>
      </c>
      <c r="T90" t="s">
        <v>1438</v>
      </c>
      <c r="U90">
        <v>8</v>
      </c>
      <c r="V90">
        <v>8</v>
      </c>
      <c r="W90" t="s">
        <v>45</v>
      </c>
      <c r="X90">
        <v>2</v>
      </c>
      <c r="Y90" s="1">
        <v>1</v>
      </c>
      <c r="Z90" t="s">
        <v>228</v>
      </c>
      <c r="AA90" t="s">
        <v>1439</v>
      </c>
      <c r="AB90" t="s">
        <v>1278</v>
      </c>
      <c r="AC90" t="s">
        <v>1440</v>
      </c>
      <c r="AD90" t="s">
        <v>386</v>
      </c>
      <c r="AE90" t="s">
        <v>1441</v>
      </c>
      <c r="AF90">
        <f t="shared" si="1"/>
        <v>11</v>
      </c>
    </row>
    <row r="91" spans="1:32" x14ac:dyDescent="0.25">
      <c r="A91">
        <v>85</v>
      </c>
      <c r="B91" t="s">
        <v>1442</v>
      </c>
      <c r="C91" t="s">
        <v>1443</v>
      </c>
      <c r="D91" t="s">
        <v>1444</v>
      </c>
      <c r="E91" t="s">
        <v>1445</v>
      </c>
      <c r="F91" t="s">
        <v>1446</v>
      </c>
      <c r="G91" t="s">
        <v>1447</v>
      </c>
      <c r="H91" t="s">
        <v>1182</v>
      </c>
      <c r="I91" t="s">
        <v>1448</v>
      </c>
      <c r="J91" t="s">
        <v>1449</v>
      </c>
      <c r="K91" t="s">
        <v>1450</v>
      </c>
      <c r="L91" t="s">
        <v>1451</v>
      </c>
      <c r="M91" t="s">
        <v>86</v>
      </c>
      <c r="N91" t="s">
        <v>207</v>
      </c>
      <c r="O91" t="s">
        <v>1452</v>
      </c>
      <c r="P91" s="2">
        <v>37653</v>
      </c>
      <c r="Q91" s="2">
        <v>42450</v>
      </c>
      <c r="R91" t="s">
        <v>112</v>
      </c>
      <c r="S91">
        <v>7812</v>
      </c>
      <c r="T91" t="s">
        <v>1453</v>
      </c>
      <c r="U91">
        <v>8</v>
      </c>
      <c r="V91">
        <v>8</v>
      </c>
      <c r="W91" t="s">
        <v>45</v>
      </c>
      <c r="X91">
        <v>2</v>
      </c>
      <c r="Y91" s="1">
        <v>2</v>
      </c>
      <c r="Z91" t="s">
        <v>228</v>
      </c>
      <c r="AA91" t="s">
        <v>1454</v>
      </c>
      <c r="AB91" t="s">
        <v>1455</v>
      </c>
      <c r="AC91" t="s">
        <v>1456</v>
      </c>
      <c r="AD91" t="s">
        <v>155</v>
      </c>
      <c r="AE91" t="s">
        <v>1457</v>
      </c>
      <c r="AF91">
        <f t="shared" si="1"/>
        <v>13</v>
      </c>
    </row>
    <row r="92" spans="1:32" x14ac:dyDescent="0.25">
      <c r="A92">
        <v>86</v>
      </c>
      <c r="B92" t="s">
        <v>1458</v>
      </c>
      <c r="C92" t="s">
        <v>1459</v>
      </c>
      <c r="D92" t="s">
        <v>1460</v>
      </c>
      <c r="E92" t="s">
        <v>1461</v>
      </c>
      <c r="F92" t="s">
        <v>1462</v>
      </c>
      <c r="G92" t="s">
        <v>1463</v>
      </c>
      <c r="H92" t="s">
        <v>1464</v>
      </c>
      <c r="I92" t="s">
        <v>1465</v>
      </c>
      <c r="J92" t="s">
        <v>1466</v>
      </c>
      <c r="K92" t="s">
        <v>1467</v>
      </c>
      <c r="L92" t="s">
        <v>1468</v>
      </c>
      <c r="M92" t="s">
        <v>108</v>
      </c>
      <c r="O92" t="s">
        <v>1469</v>
      </c>
      <c r="P92" s="2">
        <v>37842</v>
      </c>
      <c r="Q92" s="2">
        <v>38961</v>
      </c>
      <c r="R92" t="s">
        <v>190</v>
      </c>
      <c r="S92">
        <v>6466</v>
      </c>
      <c r="T92" t="s">
        <v>1470</v>
      </c>
      <c r="U92">
        <v>3</v>
      </c>
      <c r="V92">
        <v>3</v>
      </c>
      <c r="W92" t="s">
        <v>55</v>
      </c>
      <c r="X92">
        <v>4</v>
      </c>
      <c r="Y92" s="1">
        <v>3</v>
      </c>
      <c r="Z92" t="s">
        <v>416</v>
      </c>
      <c r="AA92" t="s">
        <v>967</v>
      </c>
      <c r="AB92" t="s">
        <v>1471</v>
      </c>
      <c r="AC92" t="s">
        <v>1472</v>
      </c>
      <c r="AD92" t="s">
        <v>116</v>
      </c>
      <c r="AE92" t="s">
        <v>353</v>
      </c>
      <c r="AF92">
        <f t="shared" si="1"/>
        <v>3</v>
      </c>
    </row>
    <row r="93" spans="1:32" x14ac:dyDescent="0.25">
      <c r="A93">
        <v>87</v>
      </c>
      <c r="B93" t="s">
        <v>1473</v>
      </c>
      <c r="C93" t="s">
        <v>1474</v>
      </c>
      <c r="D93" t="s">
        <v>1475</v>
      </c>
      <c r="E93" t="s">
        <v>1476</v>
      </c>
      <c r="F93" t="s">
        <v>1477</v>
      </c>
      <c r="G93" t="s">
        <v>1478</v>
      </c>
      <c r="H93" t="s">
        <v>1479</v>
      </c>
      <c r="I93" t="s">
        <v>1480</v>
      </c>
      <c r="J93" t="s">
        <v>1481</v>
      </c>
      <c r="K93" t="s">
        <v>1482</v>
      </c>
      <c r="L93" t="s">
        <v>1483</v>
      </c>
      <c r="M93" t="s">
        <v>86</v>
      </c>
      <c r="O93" t="s">
        <v>1484</v>
      </c>
      <c r="P93" s="2">
        <v>38680</v>
      </c>
      <c r="Q93" s="2">
        <v>43419</v>
      </c>
      <c r="R93" t="s">
        <v>190</v>
      </c>
      <c r="S93">
        <v>5219</v>
      </c>
      <c r="T93" t="s">
        <v>1485</v>
      </c>
      <c r="U93">
        <v>5</v>
      </c>
      <c r="V93">
        <v>5</v>
      </c>
      <c r="W93" t="s">
        <v>55</v>
      </c>
      <c r="X93">
        <v>4</v>
      </c>
      <c r="Y93" s="1">
        <v>0.5</v>
      </c>
      <c r="Z93" t="s">
        <v>416</v>
      </c>
      <c r="AA93" t="s">
        <v>1486</v>
      </c>
      <c r="AB93" t="s">
        <v>1487</v>
      </c>
      <c r="AC93" t="s">
        <v>1488</v>
      </c>
      <c r="AD93" t="s">
        <v>136</v>
      </c>
      <c r="AE93" t="s">
        <v>1489</v>
      </c>
      <c r="AF93">
        <f t="shared" si="1"/>
        <v>12</v>
      </c>
    </row>
    <row r="94" spans="1:32" x14ac:dyDescent="0.25">
      <c r="A94">
        <v>88</v>
      </c>
      <c r="B94" t="s">
        <v>1490</v>
      </c>
      <c r="C94" t="s">
        <v>198</v>
      </c>
      <c r="D94" t="s">
        <v>1491</v>
      </c>
      <c r="E94" t="s">
        <v>1492</v>
      </c>
      <c r="F94" t="s">
        <v>1493</v>
      </c>
      <c r="G94" t="s">
        <v>1494</v>
      </c>
      <c r="H94" t="s">
        <v>1495</v>
      </c>
      <c r="I94" t="s">
        <v>1496</v>
      </c>
      <c r="J94" t="s">
        <v>1497</v>
      </c>
      <c r="K94" t="s">
        <v>1498</v>
      </c>
      <c r="L94" t="s">
        <v>1499</v>
      </c>
      <c r="M94" t="s">
        <v>86</v>
      </c>
      <c r="N94" t="s">
        <v>87</v>
      </c>
      <c r="O94" t="s">
        <v>1500</v>
      </c>
      <c r="P94" s="2">
        <v>39369</v>
      </c>
      <c r="Q94" s="2">
        <v>39420</v>
      </c>
      <c r="R94" t="s">
        <v>433</v>
      </c>
      <c r="S94">
        <v>9520</v>
      </c>
      <c r="T94" t="s">
        <v>1501</v>
      </c>
      <c r="U94">
        <v>6</v>
      </c>
      <c r="V94">
        <v>6</v>
      </c>
      <c r="W94" t="s">
        <v>45</v>
      </c>
      <c r="X94">
        <v>1</v>
      </c>
      <c r="Y94" s="1">
        <v>3</v>
      </c>
      <c r="Z94" t="s">
        <v>635</v>
      </c>
      <c r="AA94" t="s">
        <v>1502</v>
      </c>
      <c r="AB94" t="s">
        <v>1503</v>
      </c>
      <c r="AC94" t="s">
        <v>1504</v>
      </c>
      <c r="AD94" t="s">
        <v>194</v>
      </c>
      <c r="AE94" t="s">
        <v>1505</v>
      </c>
      <c r="AF94">
        <f t="shared" si="1"/>
        <v>0</v>
      </c>
    </row>
    <row r="95" spans="1:32" x14ac:dyDescent="0.25">
      <c r="A95">
        <v>89</v>
      </c>
      <c r="B95" t="s">
        <v>1506</v>
      </c>
      <c r="C95" t="s">
        <v>1507</v>
      </c>
      <c r="D95" t="s">
        <v>1508</v>
      </c>
      <c r="E95" t="s">
        <v>1509</v>
      </c>
      <c r="F95" t="s">
        <v>1510</v>
      </c>
      <c r="G95" t="s">
        <v>1511</v>
      </c>
      <c r="H95" t="s">
        <v>1512</v>
      </c>
      <c r="I95" t="s">
        <v>1513</v>
      </c>
      <c r="J95" t="s">
        <v>1514</v>
      </c>
      <c r="K95" t="s">
        <v>1515</v>
      </c>
      <c r="L95" t="s">
        <v>1516</v>
      </c>
      <c r="M95" t="s">
        <v>108</v>
      </c>
      <c r="N95" t="s">
        <v>207</v>
      </c>
      <c r="O95" t="s">
        <v>1517</v>
      </c>
      <c r="P95" s="2">
        <v>41560</v>
      </c>
      <c r="Q95" s="2">
        <v>37945</v>
      </c>
      <c r="R95" t="s">
        <v>91</v>
      </c>
      <c r="S95">
        <v>4388</v>
      </c>
      <c r="T95" t="s">
        <v>1518</v>
      </c>
      <c r="U95">
        <v>5</v>
      </c>
      <c r="V95">
        <v>5</v>
      </c>
      <c r="W95" t="s">
        <v>55</v>
      </c>
      <c r="X95">
        <v>2</v>
      </c>
      <c r="Y95" s="1">
        <v>2</v>
      </c>
      <c r="Z95" t="s">
        <v>131</v>
      </c>
      <c r="AA95" t="s">
        <v>1519</v>
      </c>
      <c r="AB95" t="s">
        <v>1236</v>
      </c>
      <c r="AC95" t="s">
        <v>1520</v>
      </c>
      <c r="AD95" t="s">
        <v>386</v>
      </c>
      <c r="AE95" t="s">
        <v>1521</v>
      </c>
      <c r="AF95">
        <f t="shared" si="1"/>
        <v>9</v>
      </c>
    </row>
    <row r="96" spans="1:32" x14ac:dyDescent="0.25">
      <c r="A96">
        <v>90</v>
      </c>
      <c r="B96" t="s">
        <v>1522</v>
      </c>
      <c r="C96" t="s">
        <v>1523</v>
      </c>
      <c r="D96" t="s">
        <v>1524</v>
      </c>
      <c r="E96" t="s">
        <v>1525</v>
      </c>
      <c r="F96" t="s">
        <v>1526</v>
      </c>
      <c r="G96" t="s">
        <v>1527</v>
      </c>
      <c r="H96" t="s">
        <v>1528</v>
      </c>
      <c r="I96" t="s">
        <v>1529</v>
      </c>
      <c r="J96" t="s">
        <v>1530</v>
      </c>
      <c r="K96" t="s">
        <v>1531</v>
      </c>
      <c r="L96" t="s">
        <v>1532</v>
      </c>
      <c r="M96" t="s">
        <v>108</v>
      </c>
      <c r="N96" t="s">
        <v>109</v>
      </c>
      <c r="O96" t="s">
        <v>1533</v>
      </c>
      <c r="P96" s="2">
        <v>40974</v>
      </c>
      <c r="Q96" s="2">
        <v>44221</v>
      </c>
      <c r="R96" t="s">
        <v>635</v>
      </c>
      <c r="S96">
        <v>4880</v>
      </c>
      <c r="T96" t="s">
        <v>1534</v>
      </c>
      <c r="U96">
        <v>2</v>
      </c>
      <c r="V96">
        <v>2</v>
      </c>
      <c r="W96" t="s">
        <v>45</v>
      </c>
      <c r="X96">
        <v>4</v>
      </c>
      <c r="Y96" s="1">
        <v>3</v>
      </c>
      <c r="Z96" t="s">
        <v>635</v>
      </c>
      <c r="AA96" t="s">
        <v>1535</v>
      </c>
      <c r="AB96" t="s">
        <v>1536</v>
      </c>
      <c r="AC96" t="s">
        <v>1537</v>
      </c>
      <c r="AD96" t="s">
        <v>155</v>
      </c>
      <c r="AE96" t="s">
        <v>1538</v>
      </c>
      <c r="AF96">
        <f t="shared" si="1"/>
        <v>8</v>
      </c>
    </row>
    <row r="97" spans="1:32" x14ac:dyDescent="0.25">
      <c r="A97">
        <v>91</v>
      </c>
      <c r="B97" t="s">
        <v>1539</v>
      </c>
      <c r="C97" t="s">
        <v>556</v>
      </c>
      <c r="D97" t="s">
        <v>1540</v>
      </c>
      <c r="E97" t="s">
        <v>1541</v>
      </c>
      <c r="F97" t="s">
        <v>1542</v>
      </c>
      <c r="G97" t="s">
        <v>1543</v>
      </c>
      <c r="H97" t="s">
        <v>1544</v>
      </c>
      <c r="I97" t="s">
        <v>1545</v>
      </c>
      <c r="J97" t="s">
        <v>1546</v>
      </c>
      <c r="K97" t="s">
        <v>1547</v>
      </c>
      <c r="L97" t="s">
        <v>1548</v>
      </c>
      <c r="M97" t="s">
        <v>86</v>
      </c>
      <c r="N97" t="s">
        <v>87</v>
      </c>
      <c r="O97" t="s">
        <v>1549</v>
      </c>
      <c r="P97" s="2">
        <v>43293</v>
      </c>
      <c r="Q97" s="2">
        <v>43682</v>
      </c>
      <c r="R97" t="s">
        <v>89</v>
      </c>
      <c r="S97">
        <v>6777</v>
      </c>
      <c r="T97" t="s">
        <v>1550</v>
      </c>
      <c r="U97">
        <v>8</v>
      </c>
      <c r="V97">
        <v>8</v>
      </c>
      <c r="W97" t="s">
        <v>45</v>
      </c>
      <c r="X97">
        <v>1</v>
      </c>
      <c r="Y97" s="1">
        <v>2</v>
      </c>
      <c r="Z97" t="s">
        <v>635</v>
      </c>
      <c r="AA97" t="s">
        <v>113</v>
      </c>
      <c r="AB97" t="s">
        <v>568</v>
      </c>
      <c r="AC97" t="s">
        <v>1551</v>
      </c>
      <c r="AD97" t="s">
        <v>136</v>
      </c>
      <c r="AE97" t="s">
        <v>1552</v>
      </c>
      <c r="AF97">
        <f t="shared" si="1"/>
        <v>1</v>
      </c>
    </row>
    <row r="98" spans="1:32" x14ac:dyDescent="0.25">
      <c r="A98">
        <v>92</v>
      </c>
      <c r="B98" t="s">
        <v>1553</v>
      </c>
      <c r="C98" t="s">
        <v>1355</v>
      </c>
      <c r="D98" t="s">
        <v>1554</v>
      </c>
      <c r="E98" t="s">
        <v>1555</v>
      </c>
      <c r="F98" t="s">
        <v>1556</v>
      </c>
      <c r="G98" t="s">
        <v>1557</v>
      </c>
      <c r="H98" t="s">
        <v>1558</v>
      </c>
      <c r="I98" t="s">
        <v>1559</v>
      </c>
      <c r="J98" t="s">
        <v>1560</v>
      </c>
      <c r="K98" t="s">
        <v>1561</v>
      </c>
      <c r="L98" t="s">
        <v>1562</v>
      </c>
      <c r="M98" t="s">
        <v>86</v>
      </c>
      <c r="O98" t="s">
        <v>1563</v>
      </c>
      <c r="P98" s="2">
        <v>41834</v>
      </c>
      <c r="Q98" s="2">
        <v>41107</v>
      </c>
      <c r="R98" t="s">
        <v>169</v>
      </c>
      <c r="S98">
        <v>4108</v>
      </c>
      <c r="T98" t="s">
        <v>1564</v>
      </c>
      <c r="U98">
        <v>8</v>
      </c>
      <c r="V98">
        <v>8</v>
      </c>
      <c r="W98" t="s">
        <v>69</v>
      </c>
      <c r="X98">
        <v>1</v>
      </c>
      <c r="Y98" s="1">
        <v>2</v>
      </c>
      <c r="Z98" t="s">
        <v>151</v>
      </c>
      <c r="AA98" t="s">
        <v>967</v>
      </c>
      <c r="AB98" t="s">
        <v>265</v>
      </c>
      <c r="AC98" t="s">
        <v>1565</v>
      </c>
      <c r="AD98" t="s">
        <v>95</v>
      </c>
      <c r="AE98" t="s">
        <v>1566</v>
      </c>
      <c r="AF98">
        <f t="shared" si="1"/>
        <v>1</v>
      </c>
    </row>
    <row r="99" spans="1:32" x14ac:dyDescent="0.25">
      <c r="A99">
        <v>93</v>
      </c>
      <c r="B99" t="s">
        <v>1567</v>
      </c>
      <c r="C99" t="s">
        <v>1568</v>
      </c>
      <c r="D99" t="s">
        <v>1569</v>
      </c>
      <c r="E99" t="s">
        <v>1570</v>
      </c>
      <c r="F99" t="s">
        <v>1571</v>
      </c>
      <c r="G99" t="s">
        <v>1572</v>
      </c>
      <c r="H99" t="s">
        <v>221</v>
      </c>
      <c r="I99" t="s">
        <v>1573</v>
      </c>
      <c r="J99" t="s">
        <v>1574</v>
      </c>
      <c r="K99" t="s">
        <v>1575</v>
      </c>
      <c r="L99" t="s">
        <v>1576</v>
      </c>
      <c r="M99" t="s">
        <v>108</v>
      </c>
      <c r="N99" t="s">
        <v>207</v>
      </c>
      <c r="O99" t="s">
        <v>1577</v>
      </c>
      <c r="P99" s="2">
        <v>41041</v>
      </c>
      <c r="Q99" s="2">
        <v>42037</v>
      </c>
      <c r="R99" t="s">
        <v>169</v>
      </c>
      <c r="S99">
        <v>7152</v>
      </c>
      <c r="T99" t="s">
        <v>1578</v>
      </c>
      <c r="U99">
        <v>4</v>
      </c>
      <c r="V99">
        <v>4</v>
      </c>
      <c r="W99" t="s">
        <v>45</v>
      </c>
      <c r="X99">
        <v>1</v>
      </c>
      <c r="Y99" s="1">
        <v>2</v>
      </c>
      <c r="Z99" t="s">
        <v>228</v>
      </c>
      <c r="AA99" t="s">
        <v>535</v>
      </c>
      <c r="AB99" t="s">
        <v>535</v>
      </c>
      <c r="AC99" t="s">
        <v>1579</v>
      </c>
      <c r="AD99" t="s">
        <v>136</v>
      </c>
      <c r="AE99" t="s">
        <v>1580</v>
      </c>
      <c r="AF99">
        <f t="shared" si="1"/>
        <v>2</v>
      </c>
    </row>
    <row r="100" spans="1:32" x14ac:dyDescent="0.25">
      <c r="A100">
        <v>94</v>
      </c>
      <c r="B100" t="s">
        <v>1581</v>
      </c>
      <c r="C100" t="s">
        <v>1582</v>
      </c>
      <c r="D100" t="s">
        <v>1583</v>
      </c>
      <c r="E100" t="s">
        <v>1584</v>
      </c>
      <c r="F100" t="s">
        <v>1585</v>
      </c>
      <c r="G100" t="s">
        <v>1586</v>
      </c>
      <c r="H100" t="s">
        <v>1587</v>
      </c>
      <c r="I100" t="s">
        <v>1588</v>
      </c>
      <c r="J100" t="s">
        <v>1589</v>
      </c>
      <c r="K100" t="s">
        <v>1590</v>
      </c>
      <c r="L100" t="s">
        <v>1591</v>
      </c>
      <c r="M100" t="s">
        <v>86</v>
      </c>
      <c r="O100" t="s">
        <v>1592</v>
      </c>
      <c r="P100" s="2">
        <v>41472</v>
      </c>
      <c r="Q100" s="2">
        <v>42998</v>
      </c>
      <c r="R100" t="s">
        <v>263</v>
      </c>
      <c r="S100">
        <v>8804</v>
      </c>
      <c r="T100" t="s">
        <v>1593</v>
      </c>
      <c r="U100">
        <v>6</v>
      </c>
      <c r="V100">
        <v>6</v>
      </c>
      <c r="W100" t="s">
        <v>45</v>
      </c>
      <c r="X100">
        <v>1</v>
      </c>
      <c r="Y100" s="1">
        <v>1.5</v>
      </c>
      <c r="Z100" t="s">
        <v>433</v>
      </c>
      <c r="AA100" t="s">
        <v>502</v>
      </c>
      <c r="AB100" t="s">
        <v>1173</v>
      </c>
      <c r="AC100" t="s">
        <v>1594</v>
      </c>
      <c r="AD100" t="s">
        <v>194</v>
      </c>
      <c r="AE100" t="s">
        <v>1595</v>
      </c>
      <c r="AF100">
        <f t="shared" si="1"/>
        <v>4</v>
      </c>
    </row>
    <row r="101" spans="1:32" x14ac:dyDescent="0.25">
      <c r="A101">
        <v>95</v>
      </c>
      <c r="B101" t="s">
        <v>1596</v>
      </c>
      <c r="C101" t="s">
        <v>1597</v>
      </c>
      <c r="D101" t="s">
        <v>1598</v>
      </c>
      <c r="E101" t="s">
        <v>1599</v>
      </c>
      <c r="F101" t="s">
        <v>1600</v>
      </c>
      <c r="G101" t="s">
        <v>1601</v>
      </c>
      <c r="H101" t="s">
        <v>1602</v>
      </c>
      <c r="I101" t="s">
        <v>1603</v>
      </c>
      <c r="J101" t="s">
        <v>1604</v>
      </c>
      <c r="K101" t="s">
        <v>1605</v>
      </c>
      <c r="L101" t="s">
        <v>1606</v>
      </c>
      <c r="M101" t="s">
        <v>108</v>
      </c>
      <c r="N101" t="s">
        <v>129</v>
      </c>
      <c r="O101" t="s">
        <v>1607</v>
      </c>
      <c r="P101" s="2">
        <v>37840</v>
      </c>
      <c r="Q101" s="2">
        <v>43994</v>
      </c>
      <c r="R101" t="s">
        <v>151</v>
      </c>
      <c r="S101">
        <v>8821</v>
      </c>
      <c r="T101" t="s">
        <v>1608</v>
      </c>
      <c r="U101">
        <v>8</v>
      </c>
      <c r="V101">
        <v>8</v>
      </c>
      <c r="W101" t="s">
        <v>69</v>
      </c>
      <c r="X101">
        <v>3</v>
      </c>
      <c r="Y101" s="1">
        <v>2.5</v>
      </c>
      <c r="Z101" t="s">
        <v>190</v>
      </c>
      <c r="AA101" t="s">
        <v>172</v>
      </c>
      <c r="AB101" t="s">
        <v>173</v>
      </c>
      <c r="AC101" t="s">
        <v>1609</v>
      </c>
      <c r="AD101" t="s">
        <v>155</v>
      </c>
      <c r="AE101" t="s">
        <v>1610</v>
      </c>
      <c r="AF101">
        <f t="shared" si="1"/>
        <v>16</v>
      </c>
    </row>
    <row r="102" spans="1:32" x14ac:dyDescent="0.25">
      <c r="A102">
        <v>96</v>
      </c>
      <c r="B102" t="s">
        <v>1611</v>
      </c>
      <c r="C102" t="s">
        <v>1612</v>
      </c>
      <c r="D102" t="s">
        <v>1613</v>
      </c>
      <c r="E102" t="s">
        <v>1614</v>
      </c>
      <c r="F102" t="s">
        <v>1615</v>
      </c>
      <c r="G102" t="s">
        <v>1616</v>
      </c>
      <c r="H102" t="s">
        <v>1617</v>
      </c>
      <c r="I102" t="s">
        <v>1618</v>
      </c>
      <c r="J102" t="s">
        <v>1619</v>
      </c>
      <c r="K102" t="s">
        <v>1620</v>
      </c>
      <c r="L102" t="s">
        <v>1621</v>
      </c>
      <c r="M102" t="s">
        <v>108</v>
      </c>
      <c r="N102" t="s">
        <v>109</v>
      </c>
      <c r="O102" t="s">
        <v>1622</v>
      </c>
      <c r="P102" s="2">
        <v>43840</v>
      </c>
      <c r="Q102" s="2">
        <v>37679</v>
      </c>
      <c r="R102" t="s">
        <v>89</v>
      </c>
      <c r="S102">
        <v>9001</v>
      </c>
      <c r="T102" t="s">
        <v>1623</v>
      </c>
      <c r="U102">
        <v>9</v>
      </c>
      <c r="V102">
        <v>9</v>
      </c>
      <c r="W102" t="s">
        <v>45</v>
      </c>
      <c r="X102">
        <v>3</v>
      </c>
      <c r="Y102" s="1">
        <v>1</v>
      </c>
      <c r="Z102" t="s">
        <v>190</v>
      </c>
      <c r="AA102" t="s">
        <v>247</v>
      </c>
      <c r="AB102" t="s">
        <v>761</v>
      </c>
      <c r="AC102" t="s">
        <v>1624</v>
      </c>
      <c r="AD102" t="s">
        <v>267</v>
      </c>
      <c r="AE102" t="s">
        <v>1625</v>
      </c>
      <c r="AF102">
        <f t="shared" si="1"/>
        <v>16</v>
      </c>
    </row>
    <row r="103" spans="1:32" x14ac:dyDescent="0.25">
      <c r="A103">
        <v>97</v>
      </c>
      <c r="B103" t="s">
        <v>1626</v>
      </c>
      <c r="C103" t="s">
        <v>1627</v>
      </c>
      <c r="D103" t="s">
        <v>1628</v>
      </c>
      <c r="E103" t="s">
        <v>1629</v>
      </c>
      <c r="F103" t="s">
        <v>1630</v>
      </c>
      <c r="G103" t="s">
        <v>1631</v>
      </c>
      <c r="H103" t="s">
        <v>1632</v>
      </c>
      <c r="I103" t="s">
        <v>1633</v>
      </c>
      <c r="J103" t="s">
        <v>1634</v>
      </c>
      <c r="K103" t="s">
        <v>1635</v>
      </c>
      <c r="L103" t="s">
        <v>1636</v>
      </c>
      <c r="M103" t="s">
        <v>108</v>
      </c>
      <c r="N103" t="s">
        <v>129</v>
      </c>
      <c r="O103" t="s">
        <v>1637</v>
      </c>
      <c r="P103" s="2">
        <v>39785</v>
      </c>
      <c r="Q103" s="2">
        <v>44293</v>
      </c>
      <c r="R103" t="s">
        <v>635</v>
      </c>
      <c r="S103">
        <v>9790</v>
      </c>
      <c r="T103" t="s">
        <v>1638</v>
      </c>
      <c r="U103">
        <v>7</v>
      </c>
      <c r="V103">
        <v>7</v>
      </c>
      <c r="W103" t="s">
        <v>69</v>
      </c>
      <c r="X103">
        <v>4</v>
      </c>
      <c r="Y103" s="1">
        <v>3</v>
      </c>
      <c r="Z103" t="s">
        <v>635</v>
      </c>
      <c r="AA103" t="s">
        <v>552</v>
      </c>
      <c r="AB103" t="s">
        <v>1221</v>
      </c>
      <c r="AC103" t="s">
        <v>1639</v>
      </c>
      <c r="AD103" t="s">
        <v>116</v>
      </c>
      <c r="AE103" t="s">
        <v>1640</v>
      </c>
      <c r="AF103">
        <f t="shared" si="1"/>
        <v>12</v>
      </c>
    </row>
    <row r="104" spans="1:32" x14ac:dyDescent="0.25">
      <c r="A104">
        <v>98</v>
      </c>
      <c r="B104" t="s">
        <v>1354</v>
      </c>
      <c r="C104" t="s">
        <v>1641</v>
      </c>
      <c r="D104" t="s">
        <v>1642</v>
      </c>
      <c r="E104" t="s">
        <v>1643</v>
      </c>
      <c r="F104" t="s">
        <v>1644</v>
      </c>
      <c r="G104" t="s">
        <v>1645</v>
      </c>
      <c r="H104" t="s">
        <v>1646</v>
      </c>
      <c r="I104" t="s">
        <v>1647</v>
      </c>
      <c r="J104" t="s">
        <v>1648</v>
      </c>
      <c r="K104" t="s">
        <v>1649</v>
      </c>
      <c r="L104" t="s">
        <v>1650</v>
      </c>
      <c r="M104" t="s">
        <v>86</v>
      </c>
      <c r="O104" t="s">
        <v>1651</v>
      </c>
      <c r="P104" s="2">
        <v>37553</v>
      </c>
      <c r="Q104" s="2">
        <v>40397</v>
      </c>
      <c r="R104" t="s">
        <v>190</v>
      </c>
      <c r="S104">
        <v>4122</v>
      </c>
      <c r="T104" t="s">
        <v>1652</v>
      </c>
      <c r="U104">
        <v>1</v>
      </c>
      <c r="V104">
        <v>1</v>
      </c>
      <c r="W104" t="s">
        <v>45</v>
      </c>
      <c r="X104">
        <v>4</v>
      </c>
      <c r="Y104" s="1">
        <v>0.5</v>
      </c>
      <c r="Z104" t="s">
        <v>112</v>
      </c>
      <c r="AA104" t="s">
        <v>1653</v>
      </c>
      <c r="AB104" t="s">
        <v>211</v>
      </c>
      <c r="AC104" t="s">
        <v>1654</v>
      </c>
      <c r="AD104" t="s">
        <v>267</v>
      </c>
      <c r="AE104" t="s">
        <v>1655</v>
      </c>
      <c r="AF104">
        <f t="shared" si="1"/>
        <v>7</v>
      </c>
    </row>
    <row r="105" spans="1:32" x14ac:dyDescent="0.25">
      <c r="A105">
        <v>99</v>
      </c>
      <c r="B105" t="s">
        <v>1656</v>
      </c>
      <c r="C105" t="s">
        <v>1657</v>
      </c>
      <c r="D105" t="s">
        <v>523</v>
      </c>
      <c r="E105" t="s">
        <v>1658</v>
      </c>
      <c r="F105" t="s">
        <v>1659</v>
      </c>
      <c r="G105" t="s">
        <v>1660</v>
      </c>
      <c r="H105" t="s">
        <v>1661</v>
      </c>
      <c r="I105" t="s">
        <v>1662</v>
      </c>
      <c r="J105" t="s">
        <v>1663</v>
      </c>
      <c r="K105" t="s">
        <v>1664</v>
      </c>
      <c r="L105" t="s">
        <v>1665</v>
      </c>
      <c r="M105" t="s">
        <v>86</v>
      </c>
      <c r="N105" t="s">
        <v>87</v>
      </c>
      <c r="O105" t="s">
        <v>1666</v>
      </c>
      <c r="P105" s="2">
        <v>38401</v>
      </c>
      <c r="Q105" s="2">
        <v>38412</v>
      </c>
      <c r="R105" t="s">
        <v>112</v>
      </c>
      <c r="S105">
        <v>4023</v>
      </c>
      <c r="T105" t="s">
        <v>1667</v>
      </c>
      <c r="U105">
        <v>4</v>
      </c>
      <c r="V105">
        <v>4</v>
      </c>
      <c r="W105" t="s">
        <v>45</v>
      </c>
      <c r="X105">
        <v>1</v>
      </c>
      <c r="Y105" s="1">
        <v>1.5</v>
      </c>
      <c r="Z105" t="s">
        <v>416</v>
      </c>
      <c r="AA105" t="s">
        <v>1668</v>
      </c>
      <c r="AB105" t="s">
        <v>1669</v>
      </c>
      <c r="AC105" t="s">
        <v>1670</v>
      </c>
      <c r="AD105" t="s">
        <v>155</v>
      </c>
      <c r="AE105" t="s">
        <v>1671</v>
      </c>
      <c r="AF105">
        <f t="shared" si="1"/>
        <v>0</v>
      </c>
    </row>
    <row r="106" spans="1:32" x14ac:dyDescent="0.25">
      <c r="A106">
        <v>100</v>
      </c>
      <c r="B106" t="s">
        <v>1523</v>
      </c>
      <c r="C106" t="s">
        <v>1641</v>
      </c>
      <c r="D106" t="s">
        <v>371</v>
      </c>
      <c r="E106" t="s">
        <v>1672</v>
      </c>
      <c r="F106" t="s">
        <v>1673</v>
      </c>
      <c r="G106" t="s">
        <v>1674</v>
      </c>
      <c r="H106" t="s">
        <v>1675</v>
      </c>
      <c r="I106" t="s">
        <v>1676</v>
      </c>
      <c r="J106" t="s">
        <v>1677</v>
      </c>
      <c r="K106" t="s">
        <v>1678</v>
      </c>
      <c r="L106" t="s">
        <v>1679</v>
      </c>
      <c r="M106" t="s">
        <v>108</v>
      </c>
      <c r="O106" t="s">
        <v>1680</v>
      </c>
      <c r="P106" s="2">
        <v>38637</v>
      </c>
      <c r="Q106" s="2">
        <v>38801</v>
      </c>
      <c r="R106" t="s">
        <v>635</v>
      </c>
      <c r="S106">
        <v>4776</v>
      </c>
      <c r="T106" t="s">
        <v>1681</v>
      </c>
      <c r="U106">
        <v>2</v>
      </c>
      <c r="V106">
        <v>2</v>
      </c>
      <c r="W106" t="s">
        <v>55</v>
      </c>
      <c r="X106">
        <v>3</v>
      </c>
      <c r="Y106" s="1">
        <v>2</v>
      </c>
      <c r="Z106" t="s">
        <v>171</v>
      </c>
      <c r="AA106" t="s">
        <v>300</v>
      </c>
      <c r="AB106" t="s">
        <v>1682</v>
      </c>
      <c r="AC106" t="s">
        <v>1683</v>
      </c>
      <c r="AD106" t="s">
        <v>155</v>
      </c>
      <c r="AE106" t="s">
        <v>1684</v>
      </c>
      <c r="AF106">
        <f t="shared" si="1"/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86CD5-165E-4DD6-A4E4-44D569FFDFCB}">
  <sheetPr codeName="Sheet2"/>
  <dimension ref="A1:C14"/>
  <sheetViews>
    <sheetView workbookViewId="0"/>
  </sheetViews>
  <sheetFormatPr defaultRowHeight="15" x14ac:dyDescent="0.25"/>
  <cols>
    <col min="1" max="1" width="19" bestFit="1" customWidth="1"/>
    <col min="2" max="2" width="16.85546875" bestFit="1" customWidth="1"/>
    <col min="3" max="3" width="2.85546875" bestFit="1" customWidth="1"/>
  </cols>
  <sheetData>
    <row r="1" spans="1:3" x14ac:dyDescent="0.25">
      <c r="A1" t="s">
        <v>24</v>
      </c>
    </row>
    <row r="6" spans="1:3" x14ac:dyDescent="0.25">
      <c r="A6" t="s">
        <v>16</v>
      </c>
      <c r="B6" t="s">
        <v>25</v>
      </c>
      <c r="C6" t="s">
        <v>1782</v>
      </c>
    </row>
    <row r="7" spans="1:3" x14ac:dyDescent="0.25">
      <c r="A7" t="s">
        <v>70</v>
      </c>
      <c r="B7" t="s">
        <v>71</v>
      </c>
      <c r="C7">
        <v>1</v>
      </c>
    </row>
    <row r="8" spans="1:3" x14ac:dyDescent="0.25">
      <c r="A8" t="s">
        <v>468</v>
      </c>
      <c r="B8" t="s">
        <v>72</v>
      </c>
      <c r="C8">
        <v>2</v>
      </c>
    </row>
    <row r="9" spans="1:3" x14ac:dyDescent="0.25">
      <c r="A9" t="s">
        <v>1685</v>
      </c>
      <c r="B9" t="s">
        <v>73</v>
      </c>
      <c r="C9">
        <v>3</v>
      </c>
    </row>
    <row r="10" spans="1:3" x14ac:dyDescent="0.25">
      <c r="A10" t="s">
        <v>74</v>
      </c>
      <c r="B10" t="s">
        <v>73</v>
      </c>
      <c r="C10">
        <v>4</v>
      </c>
    </row>
    <row r="11" spans="1:3" x14ac:dyDescent="0.25">
      <c r="A11" t="s">
        <v>635</v>
      </c>
      <c r="B11" t="s">
        <v>73</v>
      </c>
      <c r="C11">
        <v>5</v>
      </c>
    </row>
    <row r="12" spans="1:3" x14ac:dyDescent="0.25">
      <c r="A12" t="s">
        <v>228</v>
      </c>
      <c r="B12" t="s">
        <v>73</v>
      </c>
      <c r="C12">
        <v>6</v>
      </c>
    </row>
    <row r="13" spans="1:3" x14ac:dyDescent="0.25">
      <c r="A13" t="s">
        <v>210</v>
      </c>
      <c r="B13" t="s">
        <v>73</v>
      </c>
      <c r="C13">
        <v>7</v>
      </c>
    </row>
    <row r="14" spans="1:3" x14ac:dyDescent="0.25">
      <c r="A14" t="s">
        <v>169</v>
      </c>
      <c r="B14" t="s">
        <v>73</v>
      </c>
      <c r="C14">
        <v>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80EB-3AAC-4219-A3AB-EBF081EE366C}">
  <sheetPr codeName="Sheet3"/>
  <dimension ref="A1:C106"/>
  <sheetViews>
    <sheetView workbookViewId="0"/>
  </sheetViews>
  <sheetFormatPr defaultRowHeight="15" x14ac:dyDescent="0.25"/>
  <cols>
    <col min="1" max="1" width="36.85546875" bestFit="1" customWidth="1"/>
    <col min="2" max="2" width="9.5703125" bestFit="1" customWidth="1"/>
    <col min="3" max="3" width="4" bestFit="1" customWidth="1"/>
  </cols>
  <sheetData>
    <row r="1" spans="1:3" x14ac:dyDescent="0.25">
      <c r="A1" t="s">
        <v>22</v>
      </c>
    </row>
    <row r="6" spans="1:3" x14ac:dyDescent="0.25">
      <c r="A6" t="s">
        <v>11</v>
      </c>
      <c r="B6" t="s">
        <v>23</v>
      </c>
      <c r="C6" t="s">
        <v>1782</v>
      </c>
    </row>
    <row r="7" spans="1:3" x14ac:dyDescent="0.25">
      <c r="A7" t="s">
        <v>1686</v>
      </c>
      <c r="B7" t="s">
        <v>1756</v>
      </c>
      <c r="C7">
        <v>1</v>
      </c>
    </row>
    <row r="8" spans="1:3" x14ac:dyDescent="0.25">
      <c r="A8" t="s">
        <v>1687</v>
      </c>
      <c r="B8" t="s">
        <v>1756</v>
      </c>
      <c r="C8">
        <v>2</v>
      </c>
    </row>
    <row r="9" spans="1:3" x14ac:dyDescent="0.25">
      <c r="A9" t="s">
        <v>1688</v>
      </c>
      <c r="B9" t="s">
        <v>1756</v>
      </c>
      <c r="C9">
        <v>3</v>
      </c>
    </row>
    <row r="10" spans="1:3" x14ac:dyDescent="0.25">
      <c r="A10" t="s">
        <v>1689</v>
      </c>
      <c r="B10" t="s">
        <v>1757</v>
      </c>
      <c r="C10">
        <v>4</v>
      </c>
    </row>
    <row r="11" spans="1:3" x14ac:dyDescent="0.25">
      <c r="A11" t="s">
        <v>1690</v>
      </c>
      <c r="B11" t="s">
        <v>1756</v>
      </c>
      <c r="C11">
        <v>5</v>
      </c>
    </row>
    <row r="12" spans="1:3" x14ac:dyDescent="0.25">
      <c r="A12" t="s">
        <v>1691</v>
      </c>
      <c r="B12" t="s">
        <v>1758</v>
      </c>
      <c r="C12">
        <v>6</v>
      </c>
    </row>
    <row r="13" spans="1:3" x14ac:dyDescent="0.25">
      <c r="A13" t="s">
        <v>1692</v>
      </c>
      <c r="B13" t="s">
        <v>1758</v>
      </c>
      <c r="C13">
        <v>7</v>
      </c>
    </row>
    <row r="14" spans="1:3" x14ac:dyDescent="0.25">
      <c r="A14" t="s">
        <v>1693</v>
      </c>
      <c r="B14" t="s">
        <v>1757</v>
      </c>
      <c r="C14">
        <v>8</v>
      </c>
    </row>
    <row r="15" spans="1:3" x14ac:dyDescent="0.25">
      <c r="A15" t="s">
        <v>1694</v>
      </c>
      <c r="B15" t="s">
        <v>1757</v>
      </c>
      <c r="C15">
        <v>9</v>
      </c>
    </row>
    <row r="16" spans="1:3" x14ac:dyDescent="0.25">
      <c r="A16" t="s">
        <v>1695</v>
      </c>
      <c r="B16" t="s">
        <v>1758</v>
      </c>
      <c r="C16">
        <v>10</v>
      </c>
    </row>
    <row r="17" spans="1:3" x14ac:dyDescent="0.25">
      <c r="A17" t="s">
        <v>1696</v>
      </c>
      <c r="B17" t="s">
        <v>1758</v>
      </c>
      <c r="C17">
        <v>11</v>
      </c>
    </row>
    <row r="18" spans="1:3" x14ac:dyDescent="0.25">
      <c r="A18" t="s">
        <v>1697</v>
      </c>
      <c r="B18" t="s">
        <v>1757</v>
      </c>
      <c r="C18">
        <v>12</v>
      </c>
    </row>
    <row r="19" spans="1:3" x14ac:dyDescent="0.25">
      <c r="A19" t="s">
        <v>1698</v>
      </c>
      <c r="B19" t="s">
        <v>1756</v>
      </c>
      <c r="C19">
        <v>13</v>
      </c>
    </row>
    <row r="20" spans="1:3" x14ac:dyDescent="0.25">
      <c r="A20" t="s">
        <v>1699</v>
      </c>
      <c r="B20" t="s">
        <v>1758</v>
      </c>
      <c r="C20">
        <v>14</v>
      </c>
    </row>
    <row r="21" spans="1:3" x14ac:dyDescent="0.25">
      <c r="A21" t="s">
        <v>1700</v>
      </c>
      <c r="B21" t="s">
        <v>1756</v>
      </c>
      <c r="C21">
        <v>15</v>
      </c>
    </row>
    <row r="22" spans="1:3" x14ac:dyDescent="0.25">
      <c r="A22" t="s">
        <v>1697</v>
      </c>
      <c r="B22" t="s">
        <v>1757</v>
      </c>
      <c r="C22">
        <v>16</v>
      </c>
    </row>
    <row r="23" spans="1:3" x14ac:dyDescent="0.25">
      <c r="A23" t="s">
        <v>1701</v>
      </c>
      <c r="B23" t="s">
        <v>1756</v>
      </c>
      <c r="C23">
        <v>17</v>
      </c>
    </row>
    <row r="24" spans="1:3" x14ac:dyDescent="0.25">
      <c r="A24" t="s">
        <v>1702</v>
      </c>
      <c r="B24" t="s">
        <v>1757</v>
      </c>
      <c r="C24">
        <v>18</v>
      </c>
    </row>
    <row r="25" spans="1:3" x14ac:dyDescent="0.25">
      <c r="A25" t="s">
        <v>1703</v>
      </c>
      <c r="B25" t="s">
        <v>1758</v>
      </c>
      <c r="C25">
        <v>19</v>
      </c>
    </row>
    <row r="26" spans="1:3" x14ac:dyDescent="0.25">
      <c r="A26" t="s">
        <v>1704</v>
      </c>
      <c r="B26" t="s">
        <v>1756</v>
      </c>
      <c r="C26">
        <v>20</v>
      </c>
    </row>
    <row r="27" spans="1:3" x14ac:dyDescent="0.25">
      <c r="A27" t="s">
        <v>1705</v>
      </c>
      <c r="B27" t="s">
        <v>1757</v>
      </c>
      <c r="C27">
        <v>21</v>
      </c>
    </row>
    <row r="28" spans="1:3" x14ac:dyDescent="0.25">
      <c r="A28" t="s">
        <v>1706</v>
      </c>
      <c r="B28" t="s">
        <v>1758</v>
      </c>
      <c r="C28">
        <v>22</v>
      </c>
    </row>
    <row r="29" spans="1:3" x14ac:dyDescent="0.25">
      <c r="A29" t="s">
        <v>1707</v>
      </c>
      <c r="B29" t="s">
        <v>1756</v>
      </c>
      <c r="C29">
        <v>23</v>
      </c>
    </row>
    <row r="30" spans="1:3" x14ac:dyDescent="0.25">
      <c r="A30" t="s">
        <v>1698</v>
      </c>
      <c r="B30" t="s">
        <v>1758</v>
      </c>
      <c r="C30">
        <v>24</v>
      </c>
    </row>
    <row r="31" spans="1:3" x14ac:dyDescent="0.25">
      <c r="A31" t="s">
        <v>1708</v>
      </c>
      <c r="B31" t="s">
        <v>1757</v>
      </c>
      <c r="C31">
        <v>25</v>
      </c>
    </row>
    <row r="32" spans="1:3" x14ac:dyDescent="0.25">
      <c r="A32" t="s">
        <v>1709</v>
      </c>
      <c r="B32" t="s">
        <v>1757</v>
      </c>
      <c r="C32">
        <v>26</v>
      </c>
    </row>
    <row r="33" spans="1:3" x14ac:dyDescent="0.25">
      <c r="A33" t="s">
        <v>1710</v>
      </c>
      <c r="B33" t="s">
        <v>1758</v>
      </c>
      <c r="C33">
        <v>27</v>
      </c>
    </row>
    <row r="34" spans="1:3" x14ac:dyDescent="0.25">
      <c r="A34" t="s">
        <v>1711</v>
      </c>
      <c r="B34" t="s">
        <v>1756</v>
      </c>
      <c r="C34">
        <v>28</v>
      </c>
    </row>
    <row r="35" spans="1:3" x14ac:dyDescent="0.25">
      <c r="A35" t="s">
        <v>1712</v>
      </c>
      <c r="B35" t="s">
        <v>1756</v>
      </c>
      <c r="C35">
        <v>29</v>
      </c>
    </row>
    <row r="36" spans="1:3" x14ac:dyDescent="0.25">
      <c r="A36" t="s">
        <v>1713</v>
      </c>
      <c r="B36" t="s">
        <v>1758</v>
      </c>
      <c r="C36">
        <v>30</v>
      </c>
    </row>
    <row r="37" spans="1:3" x14ac:dyDescent="0.25">
      <c r="A37" t="s">
        <v>1696</v>
      </c>
      <c r="B37" t="s">
        <v>1757</v>
      </c>
      <c r="C37">
        <v>31</v>
      </c>
    </row>
    <row r="38" spans="1:3" x14ac:dyDescent="0.25">
      <c r="A38" t="s">
        <v>1698</v>
      </c>
      <c r="B38" t="s">
        <v>1758</v>
      </c>
      <c r="C38">
        <v>32</v>
      </c>
    </row>
    <row r="39" spans="1:3" x14ac:dyDescent="0.25">
      <c r="A39" t="s">
        <v>1714</v>
      </c>
      <c r="B39" t="s">
        <v>1758</v>
      </c>
      <c r="C39">
        <v>33</v>
      </c>
    </row>
    <row r="40" spans="1:3" x14ac:dyDescent="0.25">
      <c r="A40" t="s">
        <v>1715</v>
      </c>
      <c r="B40" t="s">
        <v>1758</v>
      </c>
      <c r="C40">
        <v>34</v>
      </c>
    </row>
    <row r="41" spans="1:3" x14ac:dyDescent="0.25">
      <c r="A41" t="s">
        <v>1701</v>
      </c>
      <c r="B41" t="s">
        <v>1758</v>
      </c>
      <c r="C41">
        <v>35</v>
      </c>
    </row>
    <row r="42" spans="1:3" x14ac:dyDescent="0.25">
      <c r="A42" t="s">
        <v>1716</v>
      </c>
      <c r="B42" t="s">
        <v>1757</v>
      </c>
      <c r="C42">
        <v>36</v>
      </c>
    </row>
    <row r="43" spans="1:3" x14ac:dyDescent="0.25">
      <c r="A43" t="s">
        <v>1697</v>
      </c>
      <c r="B43" t="s">
        <v>1757</v>
      </c>
      <c r="C43">
        <v>37</v>
      </c>
    </row>
    <row r="44" spans="1:3" x14ac:dyDescent="0.25">
      <c r="A44" t="s">
        <v>1717</v>
      </c>
      <c r="B44" t="s">
        <v>1758</v>
      </c>
      <c r="C44">
        <v>38</v>
      </c>
    </row>
    <row r="45" spans="1:3" x14ac:dyDescent="0.25">
      <c r="A45" t="s">
        <v>1718</v>
      </c>
      <c r="B45" t="s">
        <v>1758</v>
      </c>
      <c r="C45">
        <v>39</v>
      </c>
    </row>
    <row r="46" spans="1:3" x14ac:dyDescent="0.25">
      <c r="A46" t="s">
        <v>1693</v>
      </c>
      <c r="B46" t="s">
        <v>1756</v>
      </c>
      <c r="C46">
        <v>40</v>
      </c>
    </row>
    <row r="47" spans="1:3" x14ac:dyDescent="0.25">
      <c r="A47" t="s">
        <v>1719</v>
      </c>
      <c r="B47" t="s">
        <v>1757</v>
      </c>
      <c r="C47">
        <v>41</v>
      </c>
    </row>
    <row r="48" spans="1:3" x14ac:dyDescent="0.25">
      <c r="A48" t="s">
        <v>1717</v>
      </c>
      <c r="B48" t="s">
        <v>1757</v>
      </c>
      <c r="C48">
        <v>42</v>
      </c>
    </row>
    <row r="49" spans="1:3" x14ac:dyDescent="0.25">
      <c r="A49" t="s">
        <v>1720</v>
      </c>
      <c r="B49" t="s">
        <v>1758</v>
      </c>
      <c r="C49">
        <v>43</v>
      </c>
    </row>
    <row r="50" spans="1:3" x14ac:dyDescent="0.25">
      <c r="A50" t="s">
        <v>1717</v>
      </c>
      <c r="B50" t="s">
        <v>1757</v>
      </c>
      <c r="C50">
        <v>44</v>
      </c>
    </row>
    <row r="51" spans="1:3" x14ac:dyDescent="0.25">
      <c r="A51" t="s">
        <v>1721</v>
      </c>
      <c r="B51" t="s">
        <v>1758</v>
      </c>
      <c r="C51">
        <v>45</v>
      </c>
    </row>
    <row r="52" spans="1:3" x14ac:dyDescent="0.25">
      <c r="A52" t="s">
        <v>1720</v>
      </c>
      <c r="B52" t="s">
        <v>1756</v>
      </c>
      <c r="C52">
        <v>46</v>
      </c>
    </row>
    <row r="53" spans="1:3" x14ac:dyDescent="0.25">
      <c r="A53" t="s">
        <v>1722</v>
      </c>
      <c r="B53" t="s">
        <v>1756</v>
      </c>
      <c r="C53">
        <v>47</v>
      </c>
    </row>
    <row r="54" spans="1:3" x14ac:dyDescent="0.25">
      <c r="A54" t="s">
        <v>1693</v>
      </c>
      <c r="B54" t="s">
        <v>1756</v>
      </c>
      <c r="C54">
        <v>48</v>
      </c>
    </row>
    <row r="55" spans="1:3" x14ac:dyDescent="0.25">
      <c r="A55" t="s">
        <v>1723</v>
      </c>
      <c r="B55" t="s">
        <v>1758</v>
      </c>
      <c r="C55">
        <v>49</v>
      </c>
    </row>
    <row r="56" spans="1:3" x14ac:dyDescent="0.25">
      <c r="A56" t="s">
        <v>1724</v>
      </c>
      <c r="B56" t="s">
        <v>1758</v>
      </c>
      <c r="C56">
        <v>50</v>
      </c>
    </row>
    <row r="57" spans="1:3" x14ac:dyDescent="0.25">
      <c r="A57" t="s">
        <v>1725</v>
      </c>
      <c r="B57" t="s">
        <v>1757</v>
      </c>
      <c r="C57">
        <v>51</v>
      </c>
    </row>
    <row r="58" spans="1:3" x14ac:dyDescent="0.25">
      <c r="A58" t="s">
        <v>1726</v>
      </c>
      <c r="B58" t="s">
        <v>1757</v>
      </c>
      <c r="C58">
        <v>52</v>
      </c>
    </row>
    <row r="59" spans="1:3" x14ac:dyDescent="0.25">
      <c r="A59" t="s">
        <v>1727</v>
      </c>
      <c r="B59" t="s">
        <v>1756</v>
      </c>
      <c r="C59">
        <v>53</v>
      </c>
    </row>
    <row r="60" spans="1:3" x14ac:dyDescent="0.25">
      <c r="A60" t="s">
        <v>1728</v>
      </c>
      <c r="B60" t="s">
        <v>1757</v>
      </c>
      <c r="C60">
        <v>54</v>
      </c>
    </row>
    <row r="61" spans="1:3" x14ac:dyDescent="0.25">
      <c r="A61" t="s">
        <v>1729</v>
      </c>
      <c r="B61" t="s">
        <v>1756</v>
      </c>
      <c r="C61">
        <v>55</v>
      </c>
    </row>
    <row r="62" spans="1:3" x14ac:dyDescent="0.25">
      <c r="A62" t="s">
        <v>1730</v>
      </c>
      <c r="B62" t="s">
        <v>1758</v>
      </c>
      <c r="C62">
        <v>56</v>
      </c>
    </row>
    <row r="63" spans="1:3" x14ac:dyDescent="0.25">
      <c r="A63" t="s">
        <v>1731</v>
      </c>
      <c r="B63" t="s">
        <v>1758</v>
      </c>
      <c r="C63">
        <v>57</v>
      </c>
    </row>
    <row r="64" spans="1:3" x14ac:dyDescent="0.25">
      <c r="A64" t="s">
        <v>1702</v>
      </c>
      <c r="B64" t="s">
        <v>1756</v>
      </c>
      <c r="C64">
        <v>58</v>
      </c>
    </row>
    <row r="65" spans="1:3" x14ac:dyDescent="0.25">
      <c r="A65" t="s">
        <v>1704</v>
      </c>
      <c r="B65" t="s">
        <v>1756</v>
      </c>
      <c r="C65">
        <v>59</v>
      </c>
    </row>
    <row r="66" spans="1:3" x14ac:dyDescent="0.25">
      <c r="A66" t="s">
        <v>1732</v>
      </c>
      <c r="B66" t="s">
        <v>1758</v>
      </c>
      <c r="C66">
        <v>60</v>
      </c>
    </row>
    <row r="67" spans="1:3" x14ac:dyDescent="0.25">
      <c r="A67" t="s">
        <v>1733</v>
      </c>
      <c r="B67" t="s">
        <v>1756</v>
      </c>
      <c r="C67">
        <v>61</v>
      </c>
    </row>
    <row r="68" spans="1:3" x14ac:dyDescent="0.25">
      <c r="A68" t="s">
        <v>1695</v>
      </c>
      <c r="B68" t="s">
        <v>1756</v>
      </c>
      <c r="C68">
        <v>62</v>
      </c>
    </row>
    <row r="69" spans="1:3" x14ac:dyDescent="0.25">
      <c r="A69" t="s">
        <v>1734</v>
      </c>
      <c r="B69" t="s">
        <v>1756</v>
      </c>
      <c r="C69">
        <v>63</v>
      </c>
    </row>
    <row r="70" spans="1:3" x14ac:dyDescent="0.25">
      <c r="A70" t="s">
        <v>1735</v>
      </c>
      <c r="B70" t="s">
        <v>1758</v>
      </c>
      <c r="C70">
        <v>64</v>
      </c>
    </row>
    <row r="71" spans="1:3" x14ac:dyDescent="0.25">
      <c r="A71" t="s">
        <v>1736</v>
      </c>
      <c r="B71" t="s">
        <v>1756</v>
      </c>
      <c r="C71">
        <v>65</v>
      </c>
    </row>
    <row r="72" spans="1:3" x14ac:dyDescent="0.25">
      <c r="A72" t="s">
        <v>1737</v>
      </c>
      <c r="B72" t="s">
        <v>1756</v>
      </c>
      <c r="C72">
        <v>66</v>
      </c>
    </row>
    <row r="73" spans="1:3" x14ac:dyDescent="0.25">
      <c r="A73" t="s">
        <v>1733</v>
      </c>
      <c r="B73" t="s">
        <v>1758</v>
      </c>
      <c r="C73">
        <v>67</v>
      </c>
    </row>
    <row r="74" spans="1:3" x14ac:dyDescent="0.25">
      <c r="A74" t="s">
        <v>1738</v>
      </c>
      <c r="B74" t="s">
        <v>1757</v>
      </c>
      <c r="C74">
        <v>68</v>
      </c>
    </row>
    <row r="75" spans="1:3" x14ac:dyDescent="0.25">
      <c r="A75" t="s">
        <v>1698</v>
      </c>
      <c r="B75" t="s">
        <v>1758</v>
      </c>
      <c r="C75">
        <v>69</v>
      </c>
    </row>
    <row r="76" spans="1:3" x14ac:dyDescent="0.25">
      <c r="A76" t="s">
        <v>1739</v>
      </c>
      <c r="B76" t="s">
        <v>1756</v>
      </c>
      <c r="C76">
        <v>70</v>
      </c>
    </row>
    <row r="77" spans="1:3" x14ac:dyDescent="0.25">
      <c r="A77" t="s">
        <v>1702</v>
      </c>
      <c r="B77" t="s">
        <v>1756</v>
      </c>
      <c r="C77">
        <v>71</v>
      </c>
    </row>
    <row r="78" spans="1:3" x14ac:dyDescent="0.25">
      <c r="A78" t="s">
        <v>1740</v>
      </c>
      <c r="B78" t="s">
        <v>1757</v>
      </c>
      <c r="C78">
        <v>72</v>
      </c>
    </row>
    <row r="79" spans="1:3" x14ac:dyDescent="0.25">
      <c r="A79" t="s">
        <v>1741</v>
      </c>
      <c r="B79" t="s">
        <v>1758</v>
      </c>
      <c r="C79">
        <v>73</v>
      </c>
    </row>
    <row r="80" spans="1:3" x14ac:dyDescent="0.25">
      <c r="A80" t="s">
        <v>1711</v>
      </c>
      <c r="B80" t="s">
        <v>1756</v>
      </c>
      <c r="C80">
        <v>74</v>
      </c>
    </row>
    <row r="81" spans="1:3" x14ac:dyDescent="0.25">
      <c r="A81" t="s">
        <v>1723</v>
      </c>
      <c r="B81" t="s">
        <v>1758</v>
      </c>
      <c r="C81">
        <v>75</v>
      </c>
    </row>
    <row r="82" spans="1:3" x14ac:dyDescent="0.25">
      <c r="A82" t="s">
        <v>1742</v>
      </c>
      <c r="B82" t="s">
        <v>1757</v>
      </c>
      <c r="C82">
        <v>76</v>
      </c>
    </row>
    <row r="83" spans="1:3" x14ac:dyDescent="0.25">
      <c r="A83" t="s">
        <v>1695</v>
      </c>
      <c r="B83" t="s">
        <v>1758</v>
      </c>
      <c r="C83">
        <v>77</v>
      </c>
    </row>
    <row r="84" spans="1:3" x14ac:dyDescent="0.25">
      <c r="A84" t="s">
        <v>1743</v>
      </c>
      <c r="B84" t="s">
        <v>1757</v>
      </c>
      <c r="C84">
        <v>78</v>
      </c>
    </row>
    <row r="85" spans="1:3" x14ac:dyDescent="0.25">
      <c r="A85" t="s">
        <v>1686</v>
      </c>
      <c r="B85" t="s">
        <v>1757</v>
      </c>
      <c r="C85">
        <v>79</v>
      </c>
    </row>
    <row r="86" spans="1:3" x14ac:dyDescent="0.25">
      <c r="A86" t="s">
        <v>1744</v>
      </c>
      <c r="B86" t="s">
        <v>1758</v>
      </c>
      <c r="C86">
        <v>80</v>
      </c>
    </row>
    <row r="87" spans="1:3" x14ac:dyDescent="0.25">
      <c r="A87" t="s">
        <v>1710</v>
      </c>
      <c r="B87" t="s">
        <v>1757</v>
      </c>
      <c r="C87">
        <v>81</v>
      </c>
    </row>
    <row r="88" spans="1:3" x14ac:dyDescent="0.25">
      <c r="A88" t="s">
        <v>1729</v>
      </c>
      <c r="B88" t="s">
        <v>1757</v>
      </c>
      <c r="C88">
        <v>82</v>
      </c>
    </row>
    <row r="89" spans="1:3" x14ac:dyDescent="0.25">
      <c r="A89" t="s">
        <v>1745</v>
      </c>
      <c r="B89" t="s">
        <v>1758</v>
      </c>
      <c r="C89">
        <v>83</v>
      </c>
    </row>
    <row r="90" spans="1:3" x14ac:dyDescent="0.25">
      <c r="A90" t="s">
        <v>1746</v>
      </c>
      <c r="B90" t="s">
        <v>1756</v>
      </c>
      <c r="C90">
        <v>84</v>
      </c>
    </row>
    <row r="91" spans="1:3" x14ac:dyDescent="0.25">
      <c r="A91" t="s">
        <v>1747</v>
      </c>
      <c r="B91" t="s">
        <v>1756</v>
      </c>
      <c r="C91">
        <v>85</v>
      </c>
    </row>
    <row r="92" spans="1:3" x14ac:dyDescent="0.25">
      <c r="A92" t="s">
        <v>1748</v>
      </c>
      <c r="B92" t="s">
        <v>1758</v>
      </c>
      <c r="C92">
        <v>86</v>
      </c>
    </row>
    <row r="93" spans="1:3" x14ac:dyDescent="0.25">
      <c r="A93" t="s">
        <v>1749</v>
      </c>
      <c r="B93" t="s">
        <v>1756</v>
      </c>
      <c r="C93">
        <v>87</v>
      </c>
    </row>
    <row r="94" spans="1:3" x14ac:dyDescent="0.25">
      <c r="A94" t="s">
        <v>1750</v>
      </c>
      <c r="B94" t="s">
        <v>1758</v>
      </c>
      <c r="C94">
        <v>88</v>
      </c>
    </row>
    <row r="95" spans="1:3" x14ac:dyDescent="0.25">
      <c r="A95" t="s">
        <v>1697</v>
      </c>
      <c r="B95" t="s">
        <v>1757</v>
      </c>
      <c r="C95">
        <v>89</v>
      </c>
    </row>
    <row r="96" spans="1:3" x14ac:dyDescent="0.25">
      <c r="A96" t="s">
        <v>1745</v>
      </c>
      <c r="B96" t="s">
        <v>1757</v>
      </c>
      <c r="C96">
        <v>90</v>
      </c>
    </row>
    <row r="97" spans="1:3" x14ac:dyDescent="0.25">
      <c r="A97" t="s">
        <v>1751</v>
      </c>
      <c r="B97" t="s">
        <v>1756</v>
      </c>
      <c r="C97">
        <v>91</v>
      </c>
    </row>
    <row r="98" spans="1:3" x14ac:dyDescent="0.25">
      <c r="A98" t="s">
        <v>1732</v>
      </c>
      <c r="B98" t="s">
        <v>1757</v>
      </c>
      <c r="C98">
        <v>92</v>
      </c>
    </row>
    <row r="99" spans="1:3" x14ac:dyDescent="0.25">
      <c r="A99" t="s">
        <v>1752</v>
      </c>
      <c r="B99" t="s">
        <v>1758</v>
      </c>
      <c r="C99">
        <v>93</v>
      </c>
    </row>
    <row r="100" spans="1:3" x14ac:dyDescent="0.25">
      <c r="A100" t="s">
        <v>1693</v>
      </c>
      <c r="B100" t="s">
        <v>1757</v>
      </c>
      <c r="C100">
        <v>94</v>
      </c>
    </row>
    <row r="101" spans="1:3" x14ac:dyDescent="0.25">
      <c r="A101" t="s">
        <v>1753</v>
      </c>
      <c r="B101" t="s">
        <v>1756</v>
      </c>
      <c r="C101">
        <v>95</v>
      </c>
    </row>
    <row r="102" spans="1:3" x14ac:dyDescent="0.25">
      <c r="A102" t="s">
        <v>1732</v>
      </c>
      <c r="B102" t="s">
        <v>1758</v>
      </c>
      <c r="C102">
        <v>96</v>
      </c>
    </row>
    <row r="103" spans="1:3" x14ac:dyDescent="0.25">
      <c r="A103" t="s">
        <v>1754</v>
      </c>
      <c r="B103" t="s">
        <v>1758</v>
      </c>
      <c r="C103">
        <v>97</v>
      </c>
    </row>
    <row r="104" spans="1:3" x14ac:dyDescent="0.25">
      <c r="A104" t="s">
        <v>1755</v>
      </c>
      <c r="B104" t="s">
        <v>1756</v>
      </c>
      <c r="C104">
        <v>98</v>
      </c>
    </row>
    <row r="105" spans="1:3" x14ac:dyDescent="0.25">
      <c r="A105" t="s">
        <v>1734</v>
      </c>
      <c r="B105" t="s">
        <v>1758</v>
      </c>
      <c r="C105">
        <v>99</v>
      </c>
    </row>
    <row r="106" spans="1:3" x14ac:dyDescent="0.25">
      <c r="A106" t="s">
        <v>1720</v>
      </c>
      <c r="B106" t="s">
        <v>1756</v>
      </c>
      <c r="C106">
        <v>100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8778E-BDDB-4A88-83A9-23ED3C40B4D6}">
  <sheetPr codeName="Sheet4"/>
  <dimension ref="A1:B10"/>
  <sheetViews>
    <sheetView workbookViewId="0"/>
  </sheetViews>
  <sheetFormatPr defaultRowHeight="15" x14ac:dyDescent="0.25"/>
  <cols>
    <col min="1" max="1" width="14.7109375" bestFit="1" customWidth="1"/>
    <col min="2" max="2" width="2.85546875" bestFit="1" customWidth="1"/>
  </cols>
  <sheetData>
    <row r="1" spans="1:2" x14ac:dyDescent="0.25">
      <c r="A1" t="s">
        <v>27</v>
      </c>
    </row>
    <row r="6" spans="1:2" x14ac:dyDescent="0.25">
      <c r="A6" t="s">
        <v>31</v>
      </c>
      <c r="B6" t="s">
        <v>1782</v>
      </c>
    </row>
    <row r="7" spans="1:2" x14ac:dyDescent="0.25">
      <c r="A7" t="s">
        <v>55</v>
      </c>
      <c r="B7">
        <v>1</v>
      </c>
    </row>
    <row r="8" spans="1:2" x14ac:dyDescent="0.25">
      <c r="A8" t="s">
        <v>56</v>
      </c>
      <c r="B8">
        <v>2</v>
      </c>
    </row>
    <row r="9" spans="1:2" x14ac:dyDescent="0.25">
      <c r="A9" t="s">
        <v>58</v>
      </c>
      <c r="B9">
        <v>3</v>
      </c>
    </row>
    <row r="10" spans="1:2" x14ac:dyDescent="0.25">
      <c r="A10" t="s">
        <v>57</v>
      </c>
      <c r="B10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AB371-083C-4434-9DEA-A638C1AC9527}">
  <sheetPr codeName="Sheet5"/>
  <dimension ref="A1:B15"/>
  <sheetViews>
    <sheetView workbookViewId="0"/>
  </sheetViews>
  <sheetFormatPr defaultRowHeight="15" x14ac:dyDescent="0.25"/>
  <cols>
    <col min="1" max="1" width="22" bestFit="1" customWidth="1"/>
    <col min="2" max="2" width="2.85546875" bestFit="1" customWidth="1"/>
    <col min="6" max="6" width="9.140625" customWidth="1"/>
  </cols>
  <sheetData>
    <row r="1" spans="1:2" x14ac:dyDescent="0.25">
      <c r="A1" t="s">
        <v>28</v>
      </c>
    </row>
    <row r="6" spans="1:2" x14ac:dyDescent="0.25">
      <c r="A6" t="s">
        <v>31</v>
      </c>
      <c r="B6" t="s">
        <v>1782</v>
      </c>
    </row>
    <row r="7" spans="1:2" x14ac:dyDescent="0.25">
      <c r="A7" t="s">
        <v>46</v>
      </c>
      <c r="B7">
        <v>1</v>
      </c>
    </row>
    <row r="8" spans="1:2" x14ac:dyDescent="0.25">
      <c r="A8" t="s">
        <v>54</v>
      </c>
      <c r="B8">
        <v>2</v>
      </c>
    </row>
    <row r="9" spans="1:2" x14ac:dyDescent="0.25">
      <c r="A9" t="s">
        <v>48</v>
      </c>
      <c r="B9">
        <v>3</v>
      </c>
    </row>
    <row r="10" spans="1:2" x14ac:dyDescent="0.25">
      <c r="A10" t="s">
        <v>49</v>
      </c>
      <c r="B10">
        <v>4</v>
      </c>
    </row>
    <row r="11" spans="1:2" x14ac:dyDescent="0.25">
      <c r="A11" t="s">
        <v>50</v>
      </c>
      <c r="B11">
        <v>5</v>
      </c>
    </row>
    <row r="12" spans="1:2" x14ac:dyDescent="0.25">
      <c r="A12" t="s">
        <v>51</v>
      </c>
      <c r="B12">
        <v>6</v>
      </c>
    </row>
    <row r="13" spans="1:2" x14ac:dyDescent="0.25">
      <c r="A13" t="s">
        <v>52</v>
      </c>
      <c r="B13">
        <v>7</v>
      </c>
    </row>
    <row r="14" spans="1:2" x14ac:dyDescent="0.25">
      <c r="A14" t="s">
        <v>53</v>
      </c>
      <c r="B14">
        <v>8</v>
      </c>
    </row>
    <row r="15" spans="1:2" x14ac:dyDescent="0.25">
      <c r="A15" t="s">
        <v>47</v>
      </c>
      <c r="B15">
        <v>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73E57-7034-4A03-801A-F3C4E082B0D4}">
  <sheetPr codeName="Sheet6"/>
  <dimension ref="A1:C11"/>
  <sheetViews>
    <sheetView workbookViewId="0"/>
  </sheetViews>
  <sheetFormatPr defaultRowHeight="15" x14ac:dyDescent="0.25"/>
  <cols>
    <col min="1" max="1" width="14.28515625" bestFit="1" customWidth="1"/>
    <col min="2" max="2" width="16.7109375" bestFit="1" customWidth="1"/>
    <col min="3" max="3" width="2.85546875" bestFit="1" customWidth="1"/>
  </cols>
  <sheetData>
    <row r="1" spans="1:3" x14ac:dyDescent="0.25">
      <c r="A1" t="s">
        <v>32</v>
      </c>
    </row>
    <row r="6" spans="1:3" x14ac:dyDescent="0.25">
      <c r="A6" t="s">
        <v>33</v>
      </c>
      <c r="B6" t="s">
        <v>34</v>
      </c>
      <c r="C6" t="s">
        <v>1782</v>
      </c>
    </row>
    <row r="7" spans="1:3" x14ac:dyDescent="0.25">
      <c r="A7">
        <v>1</v>
      </c>
      <c r="B7" t="s">
        <v>1775</v>
      </c>
      <c r="C7">
        <v>1</v>
      </c>
    </row>
    <row r="8" spans="1:3" x14ac:dyDescent="0.25">
      <c r="A8">
        <v>1.5</v>
      </c>
      <c r="B8" t="s">
        <v>1776</v>
      </c>
      <c r="C8">
        <v>2</v>
      </c>
    </row>
    <row r="9" spans="1:3" x14ac:dyDescent="0.25">
      <c r="A9">
        <v>2</v>
      </c>
      <c r="B9" t="s">
        <v>1777</v>
      </c>
      <c r="C9">
        <v>3</v>
      </c>
    </row>
    <row r="10" spans="1:3" x14ac:dyDescent="0.25">
      <c r="A10">
        <v>3</v>
      </c>
      <c r="B10" t="s">
        <v>1778</v>
      </c>
      <c r="C10">
        <v>4</v>
      </c>
    </row>
    <row r="11" spans="1:3" x14ac:dyDescent="0.25">
      <c r="A11">
        <v>4</v>
      </c>
      <c r="B11" t="s">
        <v>1779</v>
      </c>
      <c r="C11">
        <v>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203F-015A-4BAE-A3E1-0AA811A68B40}">
  <sheetPr codeName="Sheet7"/>
  <dimension ref="A1:C13"/>
  <sheetViews>
    <sheetView workbookViewId="0"/>
  </sheetViews>
  <sheetFormatPr defaultRowHeight="15" x14ac:dyDescent="0.25"/>
  <cols>
    <col min="1" max="1" width="14.140625" bestFit="1" customWidth="1"/>
    <col min="2" max="2" width="65.7109375" bestFit="1" customWidth="1"/>
    <col min="3" max="3" width="2.85546875" bestFit="1" customWidth="1"/>
  </cols>
  <sheetData>
    <row r="1" spans="1:3" x14ac:dyDescent="0.25">
      <c r="A1" t="s">
        <v>35</v>
      </c>
    </row>
    <row r="6" spans="1:3" x14ac:dyDescent="0.25">
      <c r="A6" t="s">
        <v>33</v>
      </c>
      <c r="B6" t="s">
        <v>34</v>
      </c>
      <c r="C6" t="s">
        <v>1782</v>
      </c>
    </row>
    <row r="7" spans="1:3" x14ac:dyDescent="0.25">
      <c r="A7" s="5">
        <v>0.5</v>
      </c>
      <c r="B7" t="s">
        <v>1768</v>
      </c>
      <c r="C7">
        <v>1</v>
      </c>
    </row>
    <row r="8" spans="1:3" x14ac:dyDescent="0.25">
      <c r="A8" s="5">
        <v>0.75</v>
      </c>
      <c r="B8" t="s">
        <v>1769</v>
      </c>
      <c r="C8">
        <v>2</v>
      </c>
    </row>
    <row r="9" spans="1:3" x14ac:dyDescent="0.25">
      <c r="A9" s="5">
        <v>1</v>
      </c>
      <c r="B9" t="s">
        <v>1770</v>
      </c>
      <c r="C9">
        <v>3</v>
      </c>
    </row>
    <row r="10" spans="1:3" x14ac:dyDescent="0.25">
      <c r="A10" s="5">
        <v>1.5</v>
      </c>
      <c r="B10" t="s">
        <v>1771</v>
      </c>
      <c r="C10">
        <v>4</v>
      </c>
    </row>
    <row r="11" spans="1:3" x14ac:dyDescent="0.25">
      <c r="A11" s="5">
        <v>2</v>
      </c>
      <c r="B11" t="s">
        <v>1772</v>
      </c>
      <c r="C11">
        <v>5</v>
      </c>
    </row>
    <row r="12" spans="1:3" x14ac:dyDescent="0.25">
      <c r="A12" s="5">
        <v>2.5</v>
      </c>
      <c r="B12" t="s">
        <v>1773</v>
      </c>
      <c r="C12">
        <v>6</v>
      </c>
    </row>
    <row r="13" spans="1:3" x14ac:dyDescent="0.25">
      <c r="A13" s="5">
        <v>3</v>
      </c>
      <c r="B13" t="s">
        <v>1774</v>
      </c>
      <c r="C13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BA3-A22C-4382-B2DA-C575395AF7F8}">
  <sheetPr codeName="Sheet8"/>
  <dimension ref="A1:E16"/>
  <sheetViews>
    <sheetView workbookViewId="0"/>
  </sheetViews>
  <sheetFormatPr defaultRowHeight="15" x14ac:dyDescent="0.25"/>
  <cols>
    <col min="1" max="1" width="14.140625" bestFit="1" customWidth="1"/>
    <col min="2" max="2" width="3" bestFit="1" customWidth="1"/>
    <col min="5" max="5" width="13.85546875" bestFit="1" customWidth="1"/>
  </cols>
  <sheetData>
    <row r="1" spans="1:5" x14ac:dyDescent="0.25">
      <c r="A1" t="s">
        <v>36</v>
      </c>
    </row>
    <row r="6" spans="1:5" x14ac:dyDescent="0.25">
      <c r="A6" t="s">
        <v>31</v>
      </c>
      <c r="B6" t="s">
        <v>1782</v>
      </c>
    </row>
    <row r="7" spans="1:5" x14ac:dyDescent="0.25">
      <c r="A7" t="s">
        <v>59</v>
      </c>
      <c r="B7">
        <v>1</v>
      </c>
      <c r="E7" s="5"/>
    </row>
    <row r="8" spans="1:5" x14ac:dyDescent="0.25">
      <c r="A8" t="s">
        <v>60</v>
      </c>
      <c r="B8">
        <v>2</v>
      </c>
      <c r="E8" s="6"/>
    </row>
    <row r="9" spans="1:5" x14ac:dyDescent="0.25">
      <c r="A9" t="s">
        <v>61</v>
      </c>
      <c r="B9">
        <v>3</v>
      </c>
    </row>
    <row r="10" spans="1:5" x14ac:dyDescent="0.25">
      <c r="A10" t="s">
        <v>62</v>
      </c>
      <c r="B10">
        <v>4</v>
      </c>
    </row>
    <row r="11" spans="1:5" x14ac:dyDescent="0.25">
      <c r="A11" t="s">
        <v>63</v>
      </c>
      <c r="B11">
        <v>5</v>
      </c>
    </row>
    <row r="12" spans="1:5" x14ac:dyDescent="0.25">
      <c r="A12" t="s">
        <v>64</v>
      </c>
      <c r="B12">
        <v>6</v>
      </c>
    </row>
    <row r="13" spans="1:5" x14ac:dyDescent="0.25">
      <c r="A13" t="s">
        <v>65</v>
      </c>
      <c r="B13">
        <v>7</v>
      </c>
    </row>
    <row r="14" spans="1:5" x14ac:dyDescent="0.25">
      <c r="A14" t="s">
        <v>66</v>
      </c>
      <c r="B14">
        <v>8</v>
      </c>
    </row>
    <row r="15" spans="1:5" x14ac:dyDescent="0.25">
      <c r="A15" t="s">
        <v>67</v>
      </c>
      <c r="B15">
        <v>9</v>
      </c>
    </row>
    <row r="16" spans="1:5" x14ac:dyDescent="0.25">
      <c r="A16" t="s">
        <v>68</v>
      </c>
      <c r="B16">
        <v>10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71C5C-D004-4848-9E9D-5D6BCB4BCEBE}">
  <sheetPr codeName="Sheet9"/>
  <dimension ref="A1:B9"/>
  <sheetViews>
    <sheetView workbookViewId="0"/>
  </sheetViews>
  <sheetFormatPr defaultRowHeight="15" x14ac:dyDescent="0.25"/>
  <cols>
    <col min="1" max="1" width="13.7109375" bestFit="1" customWidth="1"/>
    <col min="2" max="2" width="2.85546875" bestFit="1" customWidth="1"/>
  </cols>
  <sheetData>
    <row r="1" spans="1:2" x14ac:dyDescent="0.25">
      <c r="A1" t="s">
        <v>37</v>
      </c>
    </row>
    <row r="6" spans="1:2" x14ac:dyDescent="0.25">
      <c r="A6" t="s">
        <v>31</v>
      </c>
      <c r="B6" t="s">
        <v>1782</v>
      </c>
    </row>
    <row r="7" spans="1:2" x14ac:dyDescent="0.25">
      <c r="A7" t="s">
        <v>69</v>
      </c>
      <c r="B7">
        <v>1</v>
      </c>
    </row>
    <row r="8" spans="1:2" x14ac:dyDescent="0.25">
      <c r="A8" t="s">
        <v>55</v>
      </c>
      <c r="B8">
        <v>2</v>
      </c>
    </row>
    <row r="9" spans="1:2" x14ac:dyDescent="0.25">
      <c r="A9" t="s">
        <v>45</v>
      </c>
      <c r="B9">
        <v>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B9A93-2D56-49E4-9D87-68AEB5B3CFB1}">
  <sheetPr codeName="Sheet10"/>
  <dimension ref="A1:K1006"/>
  <sheetViews>
    <sheetView workbookViewId="0"/>
  </sheetViews>
  <sheetFormatPr defaultRowHeight="15" x14ac:dyDescent="0.25"/>
  <cols>
    <col min="1" max="1" width="20" bestFit="1" customWidth="1"/>
    <col min="2" max="2" width="8.7109375" bestFit="1" customWidth="1"/>
    <col min="3" max="3" width="8" bestFit="1" customWidth="1"/>
    <col min="4" max="4" width="9.85546875" bestFit="1" customWidth="1"/>
    <col min="5" max="5" width="8.85546875" bestFit="1" customWidth="1"/>
    <col min="6" max="6" width="9.140625" bestFit="1" customWidth="1"/>
    <col min="7" max="7" width="10.28515625" bestFit="1" customWidth="1"/>
    <col min="8" max="8" width="12.5703125" bestFit="1" customWidth="1"/>
  </cols>
  <sheetData>
    <row r="1" spans="1:11" x14ac:dyDescent="0.25">
      <c r="A1" t="s">
        <v>41</v>
      </c>
    </row>
    <row r="6" spans="1:11" x14ac:dyDescent="0.25">
      <c r="A6" t="s">
        <v>38</v>
      </c>
      <c r="B6" t="s">
        <v>44</v>
      </c>
      <c r="C6" t="s">
        <v>42</v>
      </c>
      <c r="D6" t="s">
        <v>1766</v>
      </c>
      <c r="E6" t="s">
        <v>1765</v>
      </c>
      <c r="F6" t="s">
        <v>43</v>
      </c>
      <c r="G6" t="s">
        <v>1780</v>
      </c>
      <c r="H6" t="s">
        <v>1781</v>
      </c>
    </row>
    <row r="7" spans="1:11" x14ac:dyDescent="0.25">
      <c r="A7">
        <v>20</v>
      </c>
      <c r="B7" s="2">
        <v>44126</v>
      </c>
      <c r="C7" s="4">
        <v>0.3520833333333333</v>
      </c>
      <c r="D7" s="4">
        <v>0.50069444444444444</v>
      </c>
      <c r="E7" s="4">
        <v>0.54027777777777775</v>
      </c>
      <c r="F7" s="4">
        <v>0.68888888888888899</v>
      </c>
      <c r="G7" s="5">
        <f>((D7-C7)*24)+((F7-E7)*24)</f>
        <v>7.1333333333333373</v>
      </c>
      <c r="H7" s="8">
        <f>MOD((TIME(8,30,0)-C7),1)+MOD((TIME(13,0,0)-E7),1)</f>
        <v>3.4722222222222654E-3</v>
      </c>
      <c r="I7" s="7"/>
      <c r="K7" s="7"/>
    </row>
    <row r="8" spans="1:11" x14ac:dyDescent="0.25">
      <c r="A8">
        <v>63</v>
      </c>
      <c r="B8" s="2">
        <v>44125</v>
      </c>
      <c r="C8" s="4">
        <v>0.35347222222222219</v>
      </c>
      <c r="D8" s="4">
        <v>0.50208333333333333</v>
      </c>
      <c r="E8" s="4">
        <v>0.54027777777777775</v>
      </c>
      <c r="F8" s="4">
        <v>0.70138888888888884</v>
      </c>
      <c r="G8" s="5">
        <f t="shared" ref="G8:G71" si="0">((D8-C8)*24)+((F8-E8)*24)</f>
        <v>7.4333333333333336</v>
      </c>
      <c r="H8" s="8">
        <f t="shared" ref="H8:H71" si="1">MOD((TIME(8,30,0)-C8),1)+MOD((TIME(13,0,0)-E8),1)</f>
        <v>2.0833333333333814E-3</v>
      </c>
    </row>
    <row r="9" spans="1:11" x14ac:dyDescent="0.25">
      <c r="A9">
        <v>51</v>
      </c>
      <c r="B9" s="2">
        <v>44126</v>
      </c>
      <c r="C9" s="4">
        <v>0.3666666666666667</v>
      </c>
      <c r="D9" s="4">
        <v>0.50138888888888888</v>
      </c>
      <c r="E9" s="4">
        <v>0.56736111111111109</v>
      </c>
      <c r="F9" s="4">
        <v>0.68402777777777779</v>
      </c>
      <c r="G9" s="5">
        <f t="shared" si="0"/>
        <v>6.0333333333333332</v>
      </c>
      <c r="H9" s="8">
        <f t="shared" si="1"/>
        <v>1.9618055555555556</v>
      </c>
    </row>
    <row r="10" spans="1:11" x14ac:dyDescent="0.25">
      <c r="A10">
        <v>9</v>
      </c>
      <c r="B10" s="2">
        <v>44124</v>
      </c>
      <c r="C10" s="4">
        <v>0.33749999999999997</v>
      </c>
      <c r="D10" s="4">
        <v>0.49652777777777773</v>
      </c>
      <c r="E10" s="4">
        <v>0.54583333333333328</v>
      </c>
      <c r="F10" s="4">
        <v>0.70208333333333339</v>
      </c>
      <c r="G10" s="5">
        <f t="shared" si="0"/>
        <v>7.5666666666666691</v>
      </c>
      <c r="H10" s="8">
        <f t="shared" si="1"/>
        <v>1.0125000000000002</v>
      </c>
    </row>
    <row r="11" spans="1:11" x14ac:dyDescent="0.25">
      <c r="A11">
        <v>27</v>
      </c>
      <c r="B11" s="2">
        <v>44125</v>
      </c>
      <c r="C11" s="4">
        <v>0.33611111111111108</v>
      </c>
      <c r="D11" s="4">
        <v>0.50416666666666665</v>
      </c>
      <c r="E11" s="4">
        <v>0.56388888888888888</v>
      </c>
      <c r="F11" s="4">
        <v>0.6875</v>
      </c>
      <c r="G11" s="5">
        <f t="shared" si="0"/>
        <v>7</v>
      </c>
      <c r="H11" s="8">
        <f t="shared" si="1"/>
        <v>0.99583333333333335</v>
      </c>
    </row>
    <row r="12" spans="1:11" x14ac:dyDescent="0.25">
      <c r="A12">
        <v>54</v>
      </c>
      <c r="B12" s="2">
        <v>44126</v>
      </c>
      <c r="C12" s="4">
        <v>0.35347222222222219</v>
      </c>
      <c r="D12" s="4">
        <v>0.51736111111111105</v>
      </c>
      <c r="E12" s="4">
        <v>0.5708333333333333</v>
      </c>
      <c r="F12" s="4">
        <v>0.68958333333333333</v>
      </c>
      <c r="G12" s="5">
        <f t="shared" si="0"/>
        <v>6.7833333333333332</v>
      </c>
      <c r="H12" s="8">
        <f t="shared" si="1"/>
        <v>0.97152777777777777</v>
      </c>
    </row>
    <row r="13" spans="1:11" x14ac:dyDescent="0.25">
      <c r="A13">
        <v>45</v>
      </c>
      <c r="B13" s="2">
        <v>44123</v>
      </c>
      <c r="C13" s="4">
        <v>0.34583333333333338</v>
      </c>
      <c r="D13" s="4">
        <v>0.51527777777777783</v>
      </c>
      <c r="E13" s="4">
        <v>0.57430555555555551</v>
      </c>
      <c r="F13" s="4">
        <v>0.70000000000000007</v>
      </c>
      <c r="G13" s="5">
        <f t="shared" si="0"/>
        <v>7.0833333333333357</v>
      </c>
      <c r="H13" s="8">
        <f t="shared" si="1"/>
        <v>0.97569444444444442</v>
      </c>
    </row>
    <row r="14" spans="1:11" x14ac:dyDescent="0.25">
      <c r="A14">
        <v>53</v>
      </c>
      <c r="B14" s="2">
        <v>44123</v>
      </c>
      <c r="C14" s="4">
        <v>0.32916666666666666</v>
      </c>
      <c r="D14" s="4">
        <v>0.50902777777777775</v>
      </c>
      <c r="E14" s="4">
        <v>0.55763888888888891</v>
      </c>
      <c r="F14" s="4">
        <v>0.68819444444444444</v>
      </c>
      <c r="G14" s="5">
        <f t="shared" si="0"/>
        <v>7.4499999999999993</v>
      </c>
      <c r="H14" s="8">
        <f t="shared" si="1"/>
        <v>1.0090277777777779</v>
      </c>
    </row>
    <row r="15" spans="1:11" x14ac:dyDescent="0.25">
      <c r="A15">
        <v>99</v>
      </c>
      <c r="B15" s="2">
        <v>44124</v>
      </c>
      <c r="C15" s="4">
        <v>0.36874999999999997</v>
      </c>
      <c r="D15" s="4">
        <v>0.50069444444444444</v>
      </c>
      <c r="E15" s="4">
        <v>0.57916666666666672</v>
      </c>
      <c r="F15" s="4">
        <v>0.6958333333333333</v>
      </c>
      <c r="G15" s="5">
        <f t="shared" si="0"/>
        <v>5.966666666666665</v>
      </c>
      <c r="H15" s="8">
        <f t="shared" si="1"/>
        <v>1.9479166666666665</v>
      </c>
    </row>
    <row r="16" spans="1:11" x14ac:dyDescent="0.25">
      <c r="A16">
        <v>50</v>
      </c>
      <c r="B16" s="2">
        <v>44126</v>
      </c>
      <c r="C16" s="4">
        <v>0.32847222222222222</v>
      </c>
      <c r="D16" s="4">
        <v>0.50694444444444442</v>
      </c>
      <c r="E16" s="4">
        <v>0.53819444444444442</v>
      </c>
      <c r="F16" s="4">
        <v>0.68958333333333333</v>
      </c>
      <c r="G16" s="5">
        <f t="shared" si="0"/>
        <v>7.916666666666667</v>
      </c>
      <c r="H16" s="8">
        <f t="shared" si="1"/>
        <v>2.9166666666666674E-2</v>
      </c>
    </row>
    <row r="17" spans="1:8" x14ac:dyDescent="0.25">
      <c r="A17">
        <v>33</v>
      </c>
      <c r="B17" s="2">
        <v>44124</v>
      </c>
      <c r="C17" s="4">
        <v>0.32430555555555557</v>
      </c>
      <c r="D17" s="4">
        <v>0.51597222222222217</v>
      </c>
      <c r="E17" s="4">
        <v>0.56319444444444444</v>
      </c>
      <c r="F17" s="4">
        <v>0.6875</v>
      </c>
      <c r="G17" s="5">
        <f t="shared" si="0"/>
        <v>7.5833333333333313</v>
      </c>
      <c r="H17" s="8">
        <f t="shared" si="1"/>
        <v>1.0083333333333333</v>
      </c>
    </row>
    <row r="18" spans="1:8" x14ac:dyDescent="0.25">
      <c r="A18">
        <v>33</v>
      </c>
      <c r="B18" s="2">
        <v>44126</v>
      </c>
      <c r="C18" s="4">
        <v>0.35694444444444445</v>
      </c>
      <c r="D18" s="4">
        <v>0.50624999999999998</v>
      </c>
      <c r="E18" s="4">
        <v>0.57916666666666672</v>
      </c>
      <c r="F18" s="4">
        <v>0.69652777777777775</v>
      </c>
      <c r="G18" s="5">
        <f t="shared" si="0"/>
        <v>6.3999999999999968</v>
      </c>
      <c r="H18" s="8">
        <f t="shared" si="1"/>
        <v>1.9597222222222221</v>
      </c>
    </row>
    <row r="19" spans="1:8" x14ac:dyDescent="0.25">
      <c r="A19">
        <v>71</v>
      </c>
      <c r="B19" s="2">
        <v>44123</v>
      </c>
      <c r="C19" s="4">
        <v>0.38125000000000003</v>
      </c>
      <c r="D19" s="4">
        <v>0.51666666666666672</v>
      </c>
      <c r="E19" s="4">
        <v>0.56874999999999998</v>
      </c>
      <c r="F19" s="4">
        <v>0.69861111111111107</v>
      </c>
      <c r="G19" s="5">
        <f t="shared" si="0"/>
        <v>6.3666666666666671</v>
      </c>
      <c r="H19" s="8">
        <f t="shared" si="1"/>
        <v>1.9458333333333333</v>
      </c>
    </row>
    <row r="20" spans="1:8" x14ac:dyDescent="0.25">
      <c r="A20">
        <v>65</v>
      </c>
      <c r="B20" s="2">
        <v>44124</v>
      </c>
      <c r="C20" s="4">
        <v>0.3215277777777778</v>
      </c>
      <c r="D20" s="4">
        <v>0.51111111111111118</v>
      </c>
      <c r="E20" s="4">
        <v>0.5395833333333333</v>
      </c>
      <c r="F20" s="4">
        <v>0.6958333333333333</v>
      </c>
      <c r="G20" s="5">
        <f t="shared" si="0"/>
        <v>8.3000000000000007</v>
      </c>
      <c r="H20" s="8">
        <f t="shared" si="1"/>
        <v>3.472222222222221E-2</v>
      </c>
    </row>
    <row r="21" spans="1:8" x14ac:dyDescent="0.25">
      <c r="A21">
        <v>72</v>
      </c>
      <c r="B21" s="2">
        <v>44125</v>
      </c>
      <c r="C21" s="4">
        <v>0.3444444444444445</v>
      </c>
      <c r="D21" s="4">
        <v>0.49861111111111112</v>
      </c>
      <c r="E21" s="4">
        <v>0.55763888888888891</v>
      </c>
      <c r="F21" s="4">
        <v>0.69513888888888886</v>
      </c>
      <c r="G21" s="5">
        <f t="shared" si="0"/>
        <v>6.9999999999999982</v>
      </c>
      <c r="H21" s="8">
        <f t="shared" si="1"/>
        <v>0.99374999999999991</v>
      </c>
    </row>
    <row r="22" spans="1:8" x14ac:dyDescent="0.25">
      <c r="A22">
        <v>94</v>
      </c>
      <c r="B22" s="2">
        <v>44123</v>
      </c>
      <c r="C22" s="4">
        <v>0.35347222222222219</v>
      </c>
      <c r="D22" s="4">
        <v>0.52013888888888882</v>
      </c>
      <c r="E22" s="4">
        <v>0.55902777777777779</v>
      </c>
      <c r="F22" s="4">
        <v>0.6875</v>
      </c>
      <c r="G22" s="5">
        <f t="shared" si="0"/>
        <v>7.0833333333333321</v>
      </c>
      <c r="H22" s="8">
        <f t="shared" si="1"/>
        <v>0.98333333333333339</v>
      </c>
    </row>
    <row r="23" spans="1:8" x14ac:dyDescent="0.25">
      <c r="A23">
        <v>17</v>
      </c>
      <c r="B23" s="2">
        <v>44126</v>
      </c>
      <c r="C23" s="4">
        <v>0.33680555555555558</v>
      </c>
      <c r="D23" s="4">
        <v>0.4993055555555555</v>
      </c>
      <c r="E23" s="4">
        <v>0.53819444444444442</v>
      </c>
      <c r="F23" s="4">
        <v>0.70347222222222217</v>
      </c>
      <c r="G23" s="5">
        <f t="shared" si="0"/>
        <v>7.8666666666666636</v>
      </c>
      <c r="H23" s="8">
        <f t="shared" si="1"/>
        <v>2.0833333333333315E-2</v>
      </c>
    </row>
    <row r="24" spans="1:8" x14ac:dyDescent="0.25">
      <c r="A24">
        <v>59</v>
      </c>
      <c r="B24" s="2">
        <v>44125</v>
      </c>
      <c r="C24" s="4">
        <v>0.37847222222222227</v>
      </c>
      <c r="D24" s="4">
        <v>0.51597222222222217</v>
      </c>
      <c r="E24" s="4">
        <v>0.5625</v>
      </c>
      <c r="F24" s="4">
        <v>0.69097222222222221</v>
      </c>
      <c r="G24" s="5">
        <f t="shared" si="0"/>
        <v>6.3833333333333311</v>
      </c>
      <c r="H24" s="8">
        <f t="shared" si="1"/>
        <v>1.9548611111111112</v>
      </c>
    </row>
    <row r="25" spans="1:8" x14ac:dyDescent="0.25">
      <c r="A25">
        <v>69</v>
      </c>
      <c r="B25" s="2">
        <v>44124</v>
      </c>
      <c r="C25" s="4">
        <v>0.32500000000000001</v>
      </c>
      <c r="D25" s="4">
        <v>0.51527777777777783</v>
      </c>
      <c r="E25" s="4">
        <v>0.54027777777777775</v>
      </c>
      <c r="F25" s="4">
        <v>0.69027777777777777</v>
      </c>
      <c r="G25" s="5">
        <f t="shared" si="0"/>
        <v>8.1666666666666679</v>
      </c>
      <c r="H25" s="8">
        <f t="shared" si="1"/>
        <v>3.0555555555555558E-2</v>
      </c>
    </row>
    <row r="26" spans="1:8" x14ac:dyDescent="0.25">
      <c r="A26">
        <v>56</v>
      </c>
      <c r="B26" s="2">
        <v>44125</v>
      </c>
      <c r="C26" s="4">
        <v>0.36458333333333331</v>
      </c>
      <c r="D26" s="4">
        <v>0.50972222222222219</v>
      </c>
      <c r="E26" s="4">
        <v>0.56874999999999998</v>
      </c>
      <c r="F26" s="4">
        <v>0.69791666666666663</v>
      </c>
      <c r="G26" s="5">
        <f t="shared" si="0"/>
        <v>6.5833333333333321</v>
      </c>
      <c r="H26" s="8">
        <f t="shared" si="1"/>
        <v>1.9624999999999999</v>
      </c>
    </row>
    <row r="27" spans="1:8" x14ac:dyDescent="0.25">
      <c r="A27">
        <v>29</v>
      </c>
      <c r="B27" s="2">
        <v>44126</v>
      </c>
      <c r="C27" s="4">
        <v>0.35625000000000001</v>
      </c>
      <c r="D27" s="4">
        <v>0.50277777777777777</v>
      </c>
      <c r="E27" s="4">
        <v>0.5493055555555556</v>
      </c>
      <c r="F27" s="4">
        <v>0.68958333333333333</v>
      </c>
      <c r="G27" s="5">
        <f t="shared" si="0"/>
        <v>6.8833333333333311</v>
      </c>
      <c r="H27" s="8">
        <f t="shared" si="1"/>
        <v>1.9902777777777776</v>
      </c>
    </row>
    <row r="28" spans="1:8" x14ac:dyDescent="0.25">
      <c r="A28">
        <v>1</v>
      </c>
      <c r="B28" s="2">
        <v>44124</v>
      </c>
      <c r="C28" s="4">
        <v>0.36944444444444446</v>
      </c>
      <c r="D28" s="4">
        <v>0.51944444444444449</v>
      </c>
      <c r="E28" s="4">
        <v>0.55763888888888891</v>
      </c>
      <c r="F28" s="4">
        <v>0.6875</v>
      </c>
      <c r="G28" s="5">
        <f t="shared" si="0"/>
        <v>6.7166666666666668</v>
      </c>
      <c r="H28" s="8">
        <f t="shared" si="1"/>
        <v>1.96875</v>
      </c>
    </row>
    <row r="29" spans="1:8" x14ac:dyDescent="0.25">
      <c r="A29">
        <v>86</v>
      </c>
      <c r="B29" s="2">
        <v>44126</v>
      </c>
      <c r="C29" s="4">
        <v>0.31805555555555554</v>
      </c>
      <c r="D29" s="4">
        <v>0.5131944444444444</v>
      </c>
      <c r="E29" s="4">
        <v>0.57152777777777775</v>
      </c>
      <c r="F29" s="4">
        <v>0.69513888888888886</v>
      </c>
      <c r="G29" s="5">
        <f t="shared" si="0"/>
        <v>7.6499999999999995</v>
      </c>
      <c r="H29" s="8">
        <f t="shared" si="1"/>
        <v>1.0062500000000001</v>
      </c>
    </row>
    <row r="30" spans="1:8" x14ac:dyDescent="0.25">
      <c r="A30">
        <v>71</v>
      </c>
      <c r="B30" s="2">
        <v>44123</v>
      </c>
      <c r="C30" s="4">
        <v>0.31319444444444444</v>
      </c>
      <c r="D30" s="4">
        <v>0.5</v>
      </c>
      <c r="E30" s="4">
        <v>0.56041666666666667</v>
      </c>
      <c r="F30" s="4">
        <v>0.70416666666666661</v>
      </c>
      <c r="G30" s="5">
        <f t="shared" si="0"/>
        <v>7.9333333333333318</v>
      </c>
      <c r="H30" s="8">
        <f t="shared" si="1"/>
        <v>1.0222222222222221</v>
      </c>
    </row>
    <row r="31" spans="1:8" x14ac:dyDescent="0.25">
      <c r="A31">
        <v>22</v>
      </c>
      <c r="B31" s="2">
        <v>44124</v>
      </c>
      <c r="C31" s="4">
        <v>0.33680555555555558</v>
      </c>
      <c r="D31" s="4">
        <v>0.50972222222222219</v>
      </c>
      <c r="E31" s="4">
        <v>0.56319444444444444</v>
      </c>
      <c r="F31" s="4">
        <v>0.70277777777777783</v>
      </c>
      <c r="G31" s="5">
        <f t="shared" si="0"/>
        <v>7.5</v>
      </c>
      <c r="H31" s="8">
        <f t="shared" si="1"/>
        <v>0.99583333333333335</v>
      </c>
    </row>
    <row r="32" spans="1:8" x14ac:dyDescent="0.25">
      <c r="A32">
        <v>67</v>
      </c>
      <c r="B32" s="2">
        <v>44125</v>
      </c>
      <c r="C32" s="4">
        <v>0.32708333333333334</v>
      </c>
      <c r="D32" s="4">
        <v>0.52013888888888882</v>
      </c>
      <c r="E32" s="4">
        <v>0.57291666666666663</v>
      </c>
      <c r="F32" s="4">
        <v>0.69097222222222221</v>
      </c>
      <c r="G32" s="5">
        <f t="shared" si="0"/>
        <v>7.466666666666665</v>
      </c>
      <c r="H32" s="8">
        <f t="shared" si="1"/>
        <v>0.99583333333333335</v>
      </c>
    </row>
    <row r="33" spans="1:8" x14ac:dyDescent="0.25">
      <c r="A33">
        <v>94</v>
      </c>
      <c r="B33" s="2">
        <v>44126</v>
      </c>
      <c r="C33" s="4">
        <v>0.35833333333333334</v>
      </c>
      <c r="D33" s="4">
        <v>0.50138888888888888</v>
      </c>
      <c r="E33" s="4">
        <v>0.54513888888888895</v>
      </c>
      <c r="F33" s="4">
        <v>0.69027777777777777</v>
      </c>
      <c r="G33" s="5">
        <f t="shared" si="0"/>
        <v>6.9166666666666643</v>
      </c>
      <c r="H33" s="8">
        <f t="shared" si="1"/>
        <v>1.992361111111111</v>
      </c>
    </row>
    <row r="34" spans="1:8" x14ac:dyDescent="0.25">
      <c r="A34">
        <v>20</v>
      </c>
      <c r="B34" s="2">
        <v>44126</v>
      </c>
      <c r="C34" s="4">
        <v>0.38819444444444445</v>
      </c>
      <c r="D34" s="4">
        <v>0.50277777777777777</v>
      </c>
      <c r="E34" s="4">
        <v>0.54305555555555551</v>
      </c>
      <c r="F34" s="4">
        <v>0.6875</v>
      </c>
      <c r="G34" s="5">
        <f t="shared" si="0"/>
        <v>6.2166666666666668</v>
      </c>
      <c r="H34" s="8">
        <f t="shared" si="1"/>
        <v>1.9645833333333333</v>
      </c>
    </row>
    <row r="35" spans="1:8" x14ac:dyDescent="0.25">
      <c r="A35">
        <v>86</v>
      </c>
      <c r="B35" s="2">
        <v>44124</v>
      </c>
      <c r="C35" s="4">
        <v>0.3611111111111111</v>
      </c>
      <c r="D35" s="4">
        <v>0.51527777777777783</v>
      </c>
      <c r="E35" s="4">
        <v>0.53819444444444442</v>
      </c>
      <c r="F35" s="4">
        <v>0.6972222222222223</v>
      </c>
      <c r="G35" s="5">
        <f t="shared" si="0"/>
        <v>7.516666666666671</v>
      </c>
      <c r="H35" s="8">
        <f t="shared" si="1"/>
        <v>0.99652777777777779</v>
      </c>
    </row>
    <row r="36" spans="1:8" x14ac:dyDescent="0.25">
      <c r="A36">
        <v>58</v>
      </c>
      <c r="B36" s="2">
        <v>44125</v>
      </c>
      <c r="C36" s="4">
        <v>0.33055555555555555</v>
      </c>
      <c r="D36" s="4">
        <v>0.50277777777777777</v>
      </c>
      <c r="E36" s="4">
        <v>0.53888888888888886</v>
      </c>
      <c r="F36" s="4">
        <v>0.69930555555555562</v>
      </c>
      <c r="G36" s="5">
        <f t="shared" si="0"/>
        <v>7.9833333333333352</v>
      </c>
      <c r="H36" s="8">
        <f t="shared" si="1"/>
        <v>2.6388888888888906E-2</v>
      </c>
    </row>
    <row r="37" spans="1:8" x14ac:dyDescent="0.25">
      <c r="A37">
        <v>89</v>
      </c>
      <c r="B37" s="2">
        <v>44125</v>
      </c>
      <c r="C37" s="4">
        <v>0.3576388888888889</v>
      </c>
      <c r="D37" s="4">
        <v>0.51111111111111118</v>
      </c>
      <c r="E37" s="4">
        <v>0.54722222222222217</v>
      </c>
      <c r="F37" s="4">
        <v>0.68472222222222223</v>
      </c>
      <c r="G37" s="5">
        <f t="shared" si="0"/>
        <v>6.9833333333333361</v>
      </c>
      <c r="H37" s="8">
        <f t="shared" si="1"/>
        <v>1.9909722222222221</v>
      </c>
    </row>
    <row r="38" spans="1:8" x14ac:dyDescent="0.25">
      <c r="A38">
        <v>67</v>
      </c>
      <c r="B38" s="2">
        <v>44126</v>
      </c>
      <c r="C38" s="4">
        <v>0.32430555555555557</v>
      </c>
      <c r="D38" s="4">
        <v>0.51666666666666672</v>
      </c>
      <c r="E38" s="4">
        <v>0.57222222222222219</v>
      </c>
      <c r="F38" s="4">
        <v>0.69444444444444453</v>
      </c>
      <c r="G38" s="5">
        <f t="shared" si="0"/>
        <v>7.5500000000000034</v>
      </c>
      <c r="H38" s="8">
        <f t="shared" si="1"/>
        <v>0.99930555555555556</v>
      </c>
    </row>
    <row r="39" spans="1:8" x14ac:dyDescent="0.25">
      <c r="A39">
        <v>39</v>
      </c>
      <c r="B39" s="2">
        <v>44125</v>
      </c>
      <c r="C39" s="4">
        <v>0.31944444444444448</v>
      </c>
      <c r="D39" s="4">
        <v>0.50486111111111109</v>
      </c>
      <c r="E39" s="4">
        <v>0.56111111111111112</v>
      </c>
      <c r="F39" s="4">
        <v>0.6972222222222223</v>
      </c>
      <c r="G39" s="5">
        <f t="shared" si="0"/>
        <v>7.7166666666666677</v>
      </c>
      <c r="H39" s="8">
        <f t="shared" si="1"/>
        <v>1.0152777777777777</v>
      </c>
    </row>
    <row r="40" spans="1:8" x14ac:dyDescent="0.25">
      <c r="A40">
        <v>61</v>
      </c>
      <c r="B40" s="2">
        <v>44124</v>
      </c>
      <c r="C40" s="4">
        <v>0.31875000000000003</v>
      </c>
      <c r="D40" s="4">
        <v>0.5</v>
      </c>
      <c r="E40" s="4">
        <v>0.55625000000000002</v>
      </c>
      <c r="F40" s="4">
        <v>0.68541666666666667</v>
      </c>
      <c r="G40" s="5">
        <f t="shared" si="0"/>
        <v>7.4499999999999993</v>
      </c>
      <c r="H40" s="8">
        <f t="shared" si="1"/>
        <v>1.0208333333333333</v>
      </c>
    </row>
    <row r="41" spans="1:8" x14ac:dyDescent="0.25">
      <c r="A41">
        <v>5</v>
      </c>
      <c r="B41" s="2">
        <v>44123</v>
      </c>
      <c r="C41" s="4">
        <v>0.34236111111111112</v>
      </c>
      <c r="D41" s="4">
        <v>0.5131944444444444</v>
      </c>
      <c r="E41" s="4">
        <v>0.53888888888888886</v>
      </c>
      <c r="F41" s="4">
        <v>0.69374999999999998</v>
      </c>
      <c r="G41" s="5">
        <f t="shared" si="0"/>
        <v>7.8166666666666655</v>
      </c>
      <c r="H41" s="8">
        <f t="shared" si="1"/>
        <v>1.4583333333333337E-2</v>
      </c>
    </row>
    <row r="42" spans="1:8" x14ac:dyDescent="0.25">
      <c r="A42">
        <v>72</v>
      </c>
      <c r="B42" s="2">
        <v>44124</v>
      </c>
      <c r="C42" s="4">
        <v>0.34375</v>
      </c>
      <c r="D42" s="4">
        <v>0.51111111111111118</v>
      </c>
      <c r="E42" s="4">
        <v>0.56874999999999998</v>
      </c>
      <c r="F42" s="4">
        <v>0.68958333333333333</v>
      </c>
      <c r="G42" s="5">
        <f t="shared" si="0"/>
        <v>6.9166666666666687</v>
      </c>
      <c r="H42" s="8">
        <f t="shared" si="1"/>
        <v>0.98333333333333339</v>
      </c>
    </row>
    <row r="43" spans="1:8" x14ac:dyDescent="0.25">
      <c r="A43">
        <v>51</v>
      </c>
      <c r="B43" s="2">
        <v>44126</v>
      </c>
      <c r="C43" s="4">
        <v>0.31805555555555554</v>
      </c>
      <c r="D43" s="4">
        <v>0.51250000000000007</v>
      </c>
      <c r="E43" s="4">
        <v>0.56319444444444444</v>
      </c>
      <c r="F43" s="4">
        <v>0.69166666666666676</v>
      </c>
      <c r="G43" s="5">
        <f t="shared" si="0"/>
        <v>7.7500000000000044</v>
      </c>
      <c r="H43" s="8">
        <f t="shared" si="1"/>
        <v>1.0145833333333334</v>
      </c>
    </row>
    <row r="44" spans="1:8" x14ac:dyDescent="0.25">
      <c r="A44">
        <v>65</v>
      </c>
      <c r="B44" s="2">
        <v>44126</v>
      </c>
      <c r="C44" s="4">
        <v>0.34791666666666665</v>
      </c>
      <c r="D44" s="4">
        <v>0.5</v>
      </c>
      <c r="E44" s="4">
        <v>0.5541666666666667</v>
      </c>
      <c r="F44" s="4">
        <v>0.7006944444444444</v>
      </c>
      <c r="G44" s="5">
        <f t="shared" si="0"/>
        <v>7.1666666666666652</v>
      </c>
      <c r="H44" s="8">
        <f t="shared" si="1"/>
        <v>0.99374999999999991</v>
      </c>
    </row>
    <row r="45" spans="1:8" x14ac:dyDescent="0.25">
      <c r="A45">
        <v>58</v>
      </c>
      <c r="B45" s="2">
        <v>44124</v>
      </c>
      <c r="C45" s="4">
        <v>0.35000000000000003</v>
      </c>
      <c r="D45" s="4">
        <v>0.5131944444444444</v>
      </c>
      <c r="E45" s="4">
        <v>0.54375000000000007</v>
      </c>
      <c r="F45" s="4">
        <v>0.69861111111111107</v>
      </c>
      <c r="G45" s="5">
        <f t="shared" si="0"/>
        <v>7.6333333333333293</v>
      </c>
      <c r="H45" s="8">
        <f t="shared" si="1"/>
        <v>1.0020833333333332</v>
      </c>
    </row>
    <row r="46" spans="1:8" x14ac:dyDescent="0.25">
      <c r="A46">
        <v>42</v>
      </c>
      <c r="B46" s="2">
        <v>44123</v>
      </c>
      <c r="C46" s="4">
        <v>0.3666666666666667</v>
      </c>
      <c r="D46" s="4">
        <v>0.50069444444444444</v>
      </c>
      <c r="E46" s="4">
        <v>0.56111111111111112</v>
      </c>
      <c r="F46" s="4">
        <v>0.69513888888888886</v>
      </c>
      <c r="G46" s="5">
        <f t="shared" si="0"/>
        <v>6.4333333333333318</v>
      </c>
      <c r="H46" s="8">
        <f t="shared" si="1"/>
        <v>1.9680555555555554</v>
      </c>
    </row>
    <row r="47" spans="1:8" x14ac:dyDescent="0.25">
      <c r="A47">
        <v>98</v>
      </c>
      <c r="B47" s="2">
        <v>44123</v>
      </c>
      <c r="C47" s="4">
        <v>0.37152777777777773</v>
      </c>
      <c r="D47" s="4">
        <v>0.50347222222222221</v>
      </c>
      <c r="E47" s="4">
        <v>0.54791666666666672</v>
      </c>
      <c r="F47" s="4">
        <v>0.70416666666666661</v>
      </c>
      <c r="G47" s="5">
        <f t="shared" si="0"/>
        <v>6.9166666666666643</v>
      </c>
      <c r="H47" s="8">
        <f t="shared" si="1"/>
        <v>1.9763888888888888</v>
      </c>
    </row>
    <row r="48" spans="1:8" x14ac:dyDescent="0.25">
      <c r="A48">
        <v>36</v>
      </c>
      <c r="B48" s="2">
        <v>44124</v>
      </c>
      <c r="C48" s="4">
        <v>0.37708333333333338</v>
      </c>
      <c r="D48" s="4">
        <v>0.51388888888888895</v>
      </c>
      <c r="E48" s="4">
        <v>0.55138888888888882</v>
      </c>
      <c r="F48" s="4">
        <v>0.68541666666666667</v>
      </c>
      <c r="G48" s="5">
        <f t="shared" si="0"/>
        <v>6.5000000000000018</v>
      </c>
      <c r="H48" s="8">
        <f t="shared" si="1"/>
        <v>1.9673611111111111</v>
      </c>
    </row>
    <row r="49" spans="1:8" x14ac:dyDescent="0.25">
      <c r="A49">
        <v>45</v>
      </c>
      <c r="B49" s="2">
        <v>44123</v>
      </c>
      <c r="C49" s="4">
        <v>0.3659722222222222</v>
      </c>
      <c r="D49" s="4">
        <v>0.50555555555555554</v>
      </c>
      <c r="E49" s="4">
        <v>0.55277777777777781</v>
      </c>
      <c r="F49" s="4">
        <v>0.6972222222222223</v>
      </c>
      <c r="G49" s="5">
        <f t="shared" si="0"/>
        <v>6.8166666666666682</v>
      </c>
      <c r="H49" s="8">
        <f t="shared" si="1"/>
        <v>1.9770833333333333</v>
      </c>
    </row>
    <row r="50" spans="1:8" x14ac:dyDescent="0.25">
      <c r="A50">
        <v>87</v>
      </c>
      <c r="B50" s="2">
        <v>44123</v>
      </c>
      <c r="C50" s="4">
        <v>0.35486111111111113</v>
      </c>
      <c r="D50" s="4">
        <v>0.51458333333333328</v>
      </c>
      <c r="E50" s="4">
        <v>0.54305555555555551</v>
      </c>
      <c r="F50" s="4">
        <v>0.69791666666666663</v>
      </c>
      <c r="G50" s="5">
        <f t="shared" si="0"/>
        <v>7.5499999999999989</v>
      </c>
      <c r="H50" s="8">
        <f t="shared" si="1"/>
        <v>1.9979166666666668</v>
      </c>
    </row>
    <row r="51" spans="1:8" x14ac:dyDescent="0.25">
      <c r="A51">
        <v>68</v>
      </c>
      <c r="B51" s="2">
        <v>44125</v>
      </c>
      <c r="C51" s="4">
        <v>0.34861111111111115</v>
      </c>
      <c r="D51" s="4">
        <v>0.5131944444444444</v>
      </c>
      <c r="E51" s="4">
        <v>0.54652777777777783</v>
      </c>
      <c r="F51" s="4">
        <v>0.69861111111111107</v>
      </c>
      <c r="G51" s="5">
        <f t="shared" si="0"/>
        <v>7.5999999999999961</v>
      </c>
      <c r="H51" s="8">
        <f t="shared" si="1"/>
        <v>1.0006944444444443</v>
      </c>
    </row>
    <row r="52" spans="1:8" x14ac:dyDescent="0.25">
      <c r="A52">
        <v>22</v>
      </c>
      <c r="B52" s="2">
        <v>44123</v>
      </c>
      <c r="C52" s="4">
        <v>0.37083333333333335</v>
      </c>
      <c r="D52" s="4">
        <v>0.5131944444444444</v>
      </c>
      <c r="E52" s="4">
        <v>0.55208333333333337</v>
      </c>
      <c r="F52" s="4">
        <v>0.69166666666666676</v>
      </c>
      <c r="G52" s="5">
        <f t="shared" si="0"/>
        <v>6.7666666666666666</v>
      </c>
      <c r="H52" s="8">
        <f t="shared" si="1"/>
        <v>1.9729166666666667</v>
      </c>
    </row>
    <row r="53" spans="1:8" x14ac:dyDescent="0.25">
      <c r="A53">
        <v>99</v>
      </c>
      <c r="B53" s="2">
        <v>44123</v>
      </c>
      <c r="C53" s="4">
        <v>0.36319444444444443</v>
      </c>
      <c r="D53" s="4">
        <v>0.4993055555555555</v>
      </c>
      <c r="E53" s="4">
        <v>0.54861111111111105</v>
      </c>
      <c r="F53" s="4">
        <v>0.70277777777777783</v>
      </c>
      <c r="G53" s="5">
        <f t="shared" si="0"/>
        <v>6.9666666666666686</v>
      </c>
      <c r="H53" s="8">
        <f t="shared" si="1"/>
        <v>1.9840277777777779</v>
      </c>
    </row>
    <row r="54" spans="1:8" x14ac:dyDescent="0.25">
      <c r="A54">
        <v>43</v>
      </c>
      <c r="B54" s="2">
        <v>44124</v>
      </c>
      <c r="C54" s="4">
        <v>0.31388888888888888</v>
      </c>
      <c r="D54" s="4">
        <v>0.52013888888888882</v>
      </c>
      <c r="E54" s="4">
        <v>0.54583333333333328</v>
      </c>
      <c r="F54" s="4">
        <v>0.68541666666666667</v>
      </c>
      <c r="G54" s="5">
        <f t="shared" si="0"/>
        <v>8.3000000000000007</v>
      </c>
      <c r="H54" s="8">
        <f t="shared" si="1"/>
        <v>1.0361111111111112</v>
      </c>
    </row>
    <row r="55" spans="1:8" x14ac:dyDescent="0.25">
      <c r="A55">
        <v>84</v>
      </c>
      <c r="B55" s="2">
        <v>44125</v>
      </c>
      <c r="C55" s="4">
        <v>0.38541666666666669</v>
      </c>
      <c r="D55" s="4">
        <v>0.51111111111111118</v>
      </c>
      <c r="E55" s="4">
        <v>0.56597222222222221</v>
      </c>
      <c r="F55" s="4">
        <v>0.69930555555555562</v>
      </c>
      <c r="G55" s="5">
        <f t="shared" si="0"/>
        <v>6.2166666666666703</v>
      </c>
      <c r="H55" s="8">
        <f t="shared" si="1"/>
        <v>1.9444444444444444</v>
      </c>
    </row>
    <row r="56" spans="1:8" x14ac:dyDescent="0.25">
      <c r="A56">
        <v>48</v>
      </c>
      <c r="B56" s="2">
        <v>44126</v>
      </c>
      <c r="C56" s="4">
        <v>0.36944444444444446</v>
      </c>
      <c r="D56" s="4">
        <v>0.50624999999999998</v>
      </c>
      <c r="E56" s="4">
        <v>0.56874999999999998</v>
      </c>
      <c r="F56" s="4">
        <v>0.68541666666666667</v>
      </c>
      <c r="G56" s="5">
        <f t="shared" si="0"/>
        <v>6.083333333333333</v>
      </c>
      <c r="H56" s="8">
        <f t="shared" si="1"/>
        <v>1.9576388888888889</v>
      </c>
    </row>
    <row r="57" spans="1:8" x14ac:dyDescent="0.25">
      <c r="A57">
        <v>89</v>
      </c>
      <c r="B57" s="2">
        <v>44126</v>
      </c>
      <c r="C57" s="4">
        <v>0.32847222222222222</v>
      </c>
      <c r="D57" s="4">
        <v>0.50694444444444442</v>
      </c>
      <c r="E57" s="4">
        <v>0.56319444444444444</v>
      </c>
      <c r="F57" s="4">
        <v>0.7006944444444444</v>
      </c>
      <c r="G57" s="5">
        <f t="shared" si="0"/>
        <v>7.5833333333333321</v>
      </c>
      <c r="H57" s="8">
        <f t="shared" si="1"/>
        <v>1.0041666666666667</v>
      </c>
    </row>
    <row r="58" spans="1:8" x14ac:dyDescent="0.25">
      <c r="A58">
        <v>18</v>
      </c>
      <c r="B58" s="2">
        <v>44124</v>
      </c>
      <c r="C58" s="4">
        <v>0.36736111111111108</v>
      </c>
      <c r="D58" s="4">
        <v>0.51388888888888895</v>
      </c>
      <c r="E58" s="4">
        <v>0.56458333333333333</v>
      </c>
      <c r="F58" s="4">
        <v>0.69791666666666663</v>
      </c>
      <c r="G58" s="5">
        <f t="shared" si="0"/>
        <v>6.7166666666666686</v>
      </c>
      <c r="H58" s="8">
        <f t="shared" si="1"/>
        <v>1.963888888888889</v>
      </c>
    </row>
    <row r="59" spans="1:8" x14ac:dyDescent="0.25">
      <c r="A59">
        <v>18</v>
      </c>
      <c r="B59" s="2">
        <v>44125</v>
      </c>
      <c r="C59" s="4">
        <v>0.31875000000000003</v>
      </c>
      <c r="D59" s="4">
        <v>0.5180555555555556</v>
      </c>
      <c r="E59" s="4">
        <v>0.54513888888888895</v>
      </c>
      <c r="F59" s="4">
        <v>0.69166666666666676</v>
      </c>
      <c r="G59" s="5">
        <f t="shared" si="0"/>
        <v>8.3000000000000007</v>
      </c>
      <c r="H59" s="8">
        <f t="shared" si="1"/>
        <v>1.0319444444444443</v>
      </c>
    </row>
    <row r="60" spans="1:8" x14ac:dyDescent="0.25">
      <c r="A60">
        <v>32</v>
      </c>
      <c r="B60" s="2">
        <v>44123</v>
      </c>
      <c r="C60" s="4">
        <v>0.36180555555555555</v>
      </c>
      <c r="D60" s="4">
        <v>0.5131944444444444</v>
      </c>
      <c r="E60" s="4">
        <v>0.55625000000000002</v>
      </c>
      <c r="F60" s="4">
        <v>0.68888888888888899</v>
      </c>
      <c r="G60" s="5">
        <f t="shared" si="0"/>
        <v>6.8166666666666682</v>
      </c>
      <c r="H60" s="8">
        <f t="shared" si="1"/>
        <v>1.9777777777777779</v>
      </c>
    </row>
    <row r="61" spans="1:8" x14ac:dyDescent="0.25">
      <c r="A61">
        <v>86</v>
      </c>
      <c r="B61" s="2">
        <v>44126</v>
      </c>
      <c r="C61" s="4">
        <v>0.36736111111111108</v>
      </c>
      <c r="D61" s="4">
        <v>0.51597222222222217</v>
      </c>
      <c r="E61" s="4">
        <v>0.56319444444444444</v>
      </c>
      <c r="F61" s="4">
        <v>0.69791666666666663</v>
      </c>
      <c r="G61" s="5">
        <f t="shared" si="0"/>
        <v>6.7999999999999989</v>
      </c>
      <c r="H61" s="8">
        <f t="shared" si="1"/>
        <v>1.9652777777777777</v>
      </c>
    </row>
    <row r="62" spans="1:8" x14ac:dyDescent="0.25">
      <c r="A62">
        <v>90</v>
      </c>
      <c r="B62" s="2">
        <v>44126</v>
      </c>
      <c r="C62" s="4">
        <v>0.33402777777777781</v>
      </c>
      <c r="D62" s="4">
        <v>0.51250000000000007</v>
      </c>
      <c r="E62" s="4">
        <v>0.54513888888888895</v>
      </c>
      <c r="F62" s="4">
        <v>0.70208333333333339</v>
      </c>
      <c r="G62" s="5">
        <f t="shared" si="0"/>
        <v>8.0500000000000007</v>
      </c>
      <c r="H62" s="8">
        <f t="shared" si="1"/>
        <v>1.0166666666666666</v>
      </c>
    </row>
    <row r="63" spans="1:8" x14ac:dyDescent="0.25">
      <c r="A63">
        <v>20</v>
      </c>
      <c r="B63" s="2">
        <v>44123</v>
      </c>
      <c r="C63" s="4">
        <v>0.3840277777777778</v>
      </c>
      <c r="D63" s="4">
        <v>0.50624999999999998</v>
      </c>
      <c r="E63" s="4">
        <v>0.57500000000000007</v>
      </c>
      <c r="F63" s="4">
        <v>0.69930555555555562</v>
      </c>
      <c r="G63" s="5">
        <f t="shared" si="0"/>
        <v>5.9166666666666661</v>
      </c>
      <c r="H63" s="8">
        <f t="shared" si="1"/>
        <v>1.9368055555555554</v>
      </c>
    </row>
    <row r="64" spans="1:8" x14ac:dyDescent="0.25">
      <c r="A64">
        <v>16</v>
      </c>
      <c r="B64" s="2">
        <v>44124</v>
      </c>
      <c r="C64" s="4">
        <v>0.38125000000000003</v>
      </c>
      <c r="D64" s="4">
        <v>0.50416666666666665</v>
      </c>
      <c r="E64" s="4">
        <v>0.55625000000000002</v>
      </c>
      <c r="F64" s="4">
        <v>0.70208333333333339</v>
      </c>
      <c r="G64" s="5">
        <f t="shared" si="0"/>
        <v>6.4499999999999993</v>
      </c>
      <c r="H64" s="8">
        <f t="shared" si="1"/>
        <v>1.9583333333333333</v>
      </c>
    </row>
    <row r="65" spans="1:8" x14ac:dyDescent="0.25">
      <c r="A65">
        <v>62</v>
      </c>
      <c r="B65" s="2">
        <v>44126</v>
      </c>
      <c r="C65" s="4">
        <v>0.37638888888888888</v>
      </c>
      <c r="D65" s="4">
        <v>0.50208333333333333</v>
      </c>
      <c r="E65" s="4">
        <v>0.54166666666666663</v>
      </c>
      <c r="F65" s="4">
        <v>0.70138888888888884</v>
      </c>
      <c r="G65" s="5">
        <f t="shared" si="0"/>
        <v>6.85</v>
      </c>
      <c r="H65" s="8">
        <f t="shared" si="1"/>
        <v>0.97777777777777786</v>
      </c>
    </row>
    <row r="66" spans="1:8" x14ac:dyDescent="0.25">
      <c r="A66">
        <v>60</v>
      </c>
      <c r="B66" s="2">
        <v>44126</v>
      </c>
      <c r="C66" s="4">
        <v>0.37708333333333338</v>
      </c>
      <c r="D66" s="4">
        <v>0.49652777777777773</v>
      </c>
      <c r="E66" s="4">
        <v>0.54166666666666663</v>
      </c>
      <c r="F66" s="4">
        <v>0.70000000000000007</v>
      </c>
      <c r="G66" s="5">
        <f t="shared" si="0"/>
        <v>6.666666666666667</v>
      </c>
      <c r="H66" s="8">
        <f t="shared" si="1"/>
        <v>0.9770833333333333</v>
      </c>
    </row>
    <row r="67" spans="1:8" x14ac:dyDescent="0.25">
      <c r="A67">
        <v>6</v>
      </c>
      <c r="B67" s="2">
        <v>44125</v>
      </c>
      <c r="C67" s="4">
        <v>0.32013888888888892</v>
      </c>
      <c r="D67" s="4">
        <v>0.50138888888888888</v>
      </c>
      <c r="E67" s="4">
        <v>0.55555555555555558</v>
      </c>
      <c r="F67" s="4">
        <v>0.70138888888888884</v>
      </c>
      <c r="G67" s="5">
        <f t="shared" si="0"/>
        <v>7.8499999999999979</v>
      </c>
      <c r="H67" s="8">
        <f t="shared" si="1"/>
        <v>1.0201388888888889</v>
      </c>
    </row>
    <row r="68" spans="1:8" x14ac:dyDescent="0.25">
      <c r="A68">
        <v>54</v>
      </c>
      <c r="B68" s="2">
        <v>44125</v>
      </c>
      <c r="C68" s="4">
        <v>0.34930555555555554</v>
      </c>
      <c r="D68" s="4">
        <v>0.51388888888888895</v>
      </c>
      <c r="E68" s="4">
        <v>0.55208333333333337</v>
      </c>
      <c r="F68" s="4">
        <v>0.68611111111111101</v>
      </c>
      <c r="G68" s="5">
        <f t="shared" si="0"/>
        <v>7.1666666666666652</v>
      </c>
      <c r="H68" s="8">
        <f t="shared" si="1"/>
        <v>0.99444444444444446</v>
      </c>
    </row>
    <row r="69" spans="1:8" x14ac:dyDescent="0.25">
      <c r="A69">
        <v>27</v>
      </c>
      <c r="B69" s="2">
        <v>44125</v>
      </c>
      <c r="C69" s="4">
        <v>0.31458333333333333</v>
      </c>
      <c r="D69" s="4">
        <v>0.5180555555555556</v>
      </c>
      <c r="E69" s="4">
        <v>0.56111111111111112</v>
      </c>
      <c r="F69" s="4">
        <v>0.68888888888888899</v>
      </c>
      <c r="G69" s="5">
        <f t="shared" si="0"/>
        <v>7.9500000000000037</v>
      </c>
      <c r="H69" s="8">
        <f t="shared" si="1"/>
        <v>1.0201388888888889</v>
      </c>
    </row>
    <row r="70" spans="1:8" x14ac:dyDescent="0.25">
      <c r="A70">
        <v>94</v>
      </c>
      <c r="B70" s="2">
        <v>44126</v>
      </c>
      <c r="C70" s="4">
        <v>0.35416666666666669</v>
      </c>
      <c r="D70" s="4">
        <v>0.51874999999999993</v>
      </c>
      <c r="E70" s="4">
        <v>0.57708333333333328</v>
      </c>
      <c r="F70" s="4">
        <v>0.69305555555555554</v>
      </c>
      <c r="G70" s="5">
        <f t="shared" si="0"/>
        <v>6.7333333333333325</v>
      </c>
      <c r="H70" s="8">
        <f t="shared" si="1"/>
        <v>0.96458333333333335</v>
      </c>
    </row>
    <row r="71" spans="1:8" x14ac:dyDescent="0.25">
      <c r="A71">
        <v>20</v>
      </c>
      <c r="B71" s="2">
        <v>44125</v>
      </c>
      <c r="C71" s="4">
        <v>0.36805555555555558</v>
      </c>
      <c r="D71" s="4">
        <v>0.51874999999999993</v>
      </c>
      <c r="E71" s="4">
        <v>0.53819444444444442</v>
      </c>
      <c r="F71" s="4">
        <v>0.68888888888888899</v>
      </c>
      <c r="G71" s="5">
        <f t="shared" si="0"/>
        <v>7.2333333333333343</v>
      </c>
      <c r="H71" s="8">
        <f t="shared" si="1"/>
        <v>0.98958333333333337</v>
      </c>
    </row>
    <row r="72" spans="1:8" x14ac:dyDescent="0.25">
      <c r="A72">
        <v>61</v>
      </c>
      <c r="B72" s="2">
        <v>44126</v>
      </c>
      <c r="C72" s="4">
        <v>0.3576388888888889</v>
      </c>
      <c r="D72" s="4">
        <v>0.49722222222222223</v>
      </c>
      <c r="E72" s="4">
        <v>0.56944444444444442</v>
      </c>
      <c r="F72" s="4">
        <v>0.68472222222222223</v>
      </c>
      <c r="G72" s="5">
        <f t="shared" ref="G72:G135" si="2">((D72-C72)*24)+((F72-E72)*24)</f>
        <v>6.1166666666666671</v>
      </c>
      <c r="H72" s="8">
        <f t="shared" ref="H72:H135" si="3">MOD((TIME(8,30,0)-C72),1)+MOD((TIME(13,0,0)-E72),1)</f>
        <v>1.96875</v>
      </c>
    </row>
    <row r="73" spans="1:8" x14ac:dyDescent="0.25">
      <c r="A73">
        <v>86</v>
      </c>
      <c r="B73" s="2">
        <v>44124</v>
      </c>
      <c r="C73" s="4">
        <v>0.37986111111111115</v>
      </c>
      <c r="D73" s="4">
        <v>0.5131944444444444</v>
      </c>
      <c r="E73" s="4">
        <v>0.56736111111111109</v>
      </c>
      <c r="F73" s="4">
        <v>0.68611111111111101</v>
      </c>
      <c r="G73" s="5">
        <f t="shared" si="2"/>
        <v>6.0499999999999954</v>
      </c>
      <c r="H73" s="8">
        <f t="shared" si="3"/>
        <v>1.9486111111111111</v>
      </c>
    </row>
    <row r="74" spans="1:8" x14ac:dyDescent="0.25">
      <c r="A74">
        <v>29</v>
      </c>
      <c r="B74" s="2">
        <v>44126</v>
      </c>
      <c r="C74" s="4">
        <v>0.37708333333333338</v>
      </c>
      <c r="D74" s="4">
        <v>0.50486111111111109</v>
      </c>
      <c r="E74" s="4">
        <v>0.5756944444444444</v>
      </c>
      <c r="F74" s="4">
        <v>0.69861111111111107</v>
      </c>
      <c r="G74" s="5">
        <f t="shared" si="2"/>
        <v>6.0166666666666657</v>
      </c>
      <c r="H74" s="8">
        <f t="shared" si="3"/>
        <v>1.9430555555555555</v>
      </c>
    </row>
    <row r="75" spans="1:8" x14ac:dyDescent="0.25">
      <c r="A75">
        <v>69</v>
      </c>
      <c r="B75" s="2">
        <v>44125</v>
      </c>
      <c r="C75" s="4">
        <v>0.34375</v>
      </c>
      <c r="D75" s="4">
        <v>0.51250000000000007</v>
      </c>
      <c r="E75" s="4">
        <v>0.57638888888888895</v>
      </c>
      <c r="F75" s="4">
        <v>0.6958333333333333</v>
      </c>
      <c r="G75" s="5">
        <f t="shared" si="2"/>
        <v>6.9166666666666661</v>
      </c>
      <c r="H75" s="8">
        <f t="shared" si="3"/>
        <v>0.97569444444444442</v>
      </c>
    </row>
    <row r="76" spans="1:8" x14ac:dyDescent="0.25">
      <c r="A76">
        <v>45</v>
      </c>
      <c r="B76" s="2">
        <v>44124</v>
      </c>
      <c r="C76" s="4">
        <v>0.3659722222222222</v>
      </c>
      <c r="D76" s="4">
        <v>0.51666666666666672</v>
      </c>
      <c r="E76" s="4">
        <v>0.5395833333333333</v>
      </c>
      <c r="F76" s="4">
        <v>0.70000000000000007</v>
      </c>
      <c r="G76" s="5">
        <f t="shared" si="2"/>
        <v>7.4666666666666703</v>
      </c>
      <c r="H76" s="8">
        <f t="shared" si="3"/>
        <v>0.99027777777777781</v>
      </c>
    </row>
    <row r="77" spans="1:8" x14ac:dyDescent="0.25">
      <c r="A77">
        <v>24</v>
      </c>
      <c r="B77" s="2">
        <v>44124</v>
      </c>
      <c r="C77" s="4">
        <v>0.32013888888888892</v>
      </c>
      <c r="D77" s="4">
        <v>0.51111111111111118</v>
      </c>
      <c r="E77" s="4">
        <v>0.57291666666666663</v>
      </c>
      <c r="F77" s="4">
        <v>0.70000000000000007</v>
      </c>
      <c r="G77" s="5">
        <f t="shared" si="2"/>
        <v>7.6333333333333364</v>
      </c>
      <c r="H77" s="8">
        <f t="shared" si="3"/>
        <v>1.0027777777777778</v>
      </c>
    </row>
    <row r="78" spans="1:8" x14ac:dyDescent="0.25">
      <c r="A78">
        <v>37</v>
      </c>
      <c r="B78" s="2">
        <v>44126</v>
      </c>
      <c r="C78" s="4">
        <v>0.3743055555555555</v>
      </c>
      <c r="D78" s="4">
        <v>0.52013888888888882</v>
      </c>
      <c r="E78" s="4">
        <v>0.57152777777777775</v>
      </c>
      <c r="F78" s="4">
        <v>0.69930555555555562</v>
      </c>
      <c r="G78" s="5">
        <f t="shared" si="2"/>
        <v>6.5666666666666682</v>
      </c>
      <c r="H78" s="8">
        <f t="shared" si="3"/>
        <v>1.9500000000000002</v>
      </c>
    </row>
    <row r="79" spans="1:8" x14ac:dyDescent="0.25">
      <c r="A79">
        <v>26</v>
      </c>
      <c r="B79" s="2">
        <v>44124</v>
      </c>
      <c r="C79" s="4">
        <v>0.33749999999999997</v>
      </c>
      <c r="D79" s="4">
        <v>0.50138888888888888</v>
      </c>
      <c r="E79" s="4">
        <v>0.54097222222222219</v>
      </c>
      <c r="F79" s="4">
        <v>0.68888888888888899</v>
      </c>
      <c r="G79" s="5">
        <f t="shared" si="2"/>
        <v>7.4833333333333378</v>
      </c>
      <c r="H79" s="8">
        <f t="shared" si="3"/>
        <v>1.736111111111116E-2</v>
      </c>
    </row>
    <row r="80" spans="1:8" x14ac:dyDescent="0.25">
      <c r="A80">
        <v>93</v>
      </c>
      <c r="B80" s="2">
        <v>44123</v>
      </c>
      <c r="C80" s="4">
        <v>0.34166666666666662</v>
      </c>
      <c r="D80" s="4">
        <v>0.51874999999999993</v>
      </c>
      <c r="E80" s="4">
        <v>0.5395833333333333</v>
      </c>
      <c r="F80" s="4">
        <v>0.6875</v>
      </c>
      <c r="G80" s="5">
        <f t="shared" si="2"/>
        <v>7.8000000000000007</v>
      </c>
      <c r="H80" s="8">
        <f t="shared" si="3"/>
        <v>1.4583333333333393E-2</v>
      </c>
    </row>
    <row r="81" spans="1:8" x14ac:dyDescent="0.25">
      <c r="A81">
        <v>97</v>
      </c>
      <c r="B81" s="2">
        <v>44123</v>
      </c>
      <c r="C81" s="4">
        <v>0.31527777777777777</v>
      </c>
      <c r="D81" s="4">
        <v>0.51666666666666672</v>
      </c>
      <c r="E81" s="4">
        <v>0.56597222222222221</v>
      </c>
      <c r="F81" s="4">
        <v>0.68402777777777779</v>
      </c>
      <c r="G81" s="5">
        <f t="shared" si="2"/>
        <v>7.6666666666666687</v>
      </c>
      <c r="H81" s="8">
        <f t="shared" si="3"/>
        <v>1.0145833333333334</v>
      </c>
    </row>
    <row r="82" spans="1:8" x14ac:dyDescent="0.25">
      <c r="A82">
        <v>27</v>
      </c>
      <c r="B82" s="2">
        <v>44126</v>
      </c>
      <c r="C82" s="4">
        <v>0.36458333333333331</v>
      </c>
      <c r="D82" s="4">
        <v>0.51527777777777783</v>
      </c>
      <c r="E82" s="4">
        <v>0.55902777777777779</v>
      </c>
      <c r="F82" s="4">
        <v>0.6875</v>
      </c>
      <c r="G82" s="5">
        <f t="shared" si="2"/>
        <v>6.7000000000000011</v>
      </c>
      <c r="H82" s="8">
        <f t="shared" si="3"/>
        <v>1.9722222222222223</v>
      </c>
    </row>
    <row r="83" spans="1:8" x14ac:dyDescent="0.25">
      <c r="A83">
        <v>36</v>
      </c>
      <c r="B83" s="2">
        <v>44126</v>
      </c>
      <c r="C83" s="4">
        <v>0.33958333333333335</v>
      </c>
      <c r="D83" s="4">
        <v>0.50347222222222221</v>
      </c>
      <c r="E83" s="4">
        <v>0.54722222222222217</v>
      </c>
      <c r="F83" s="4">
        <v>0.70208333333333339</v>
      </c>
      <c r="G83" s="5">
        <f t="shared" si="2"/>
        <v>7.6500000000000021</v>
      </c>
      <c r="H83" s="8">
        <f t="shared" si="3"/>
        <v>1.0090277777777779</v>
      </c>
    </row>
    <row r="84" spans="1:8" x14ac:dyDescent="0.25">
      <c r="A84">
        <v>10</v>
      </c>
      <c r="B84" s="2">
        <v>44125</v>
      </c>
      <c r="C84" s="4">
        <v>0.37916666666666665</v>
      </c>
      <c r="D84" s="4">
        <v>0.50069444444444444</v>
      </c>
      <c r="E84" s="4">
        <v>0.54236111111111118</v>
      </c>
      <c r="F84" s="4">
        <v>0.69930555555555562</v>
      </c>
      <c r="G84" s="5">
        <f t="shared" si="2"/>
        <v>6.6833333333333336</v>
      </c>
      <c r="H84" s="8">
        <f t="shared" si="3"/>
        <v>1.9743055555555555</v>
      </c>
    </row>
    <row r="85" spans="1:8" x14ac:dyDescent="0.25">
      <c r="A85">
        <v>5</v>
      </c>
      <c r="B85" s="2">
        <v>44123</v>
      </c>
      <c r="C85" s="4">
        <v>0.32222222222222224</v>
      </c>
      <c r="D85" s="4">
        <v>0.51666666666666672</v>
      </c>
      <c r="E85" s="4">
        <v>0.56874999999999998</v>
      </c>
      <c r="F85" s="4">
        <v>0.6875</v>
      </c>
      <c r="G85" s="5">
        <f t="shared" si="2"/>
        <v>7.5166666666666684</v>
      </c>
      <c r="H85" s="8">
        <f t="shared" si="3"/>
        <v>1.004861111111111</v>
      </c>
    </row>
    <row r="86" spans="1:8" x14ac:dyDescent="0.25">
      <c r="A86">
        <v>63</v>
      </c>
      <c r="B86" s="2">
        <v>44124</v>
      </c>
      <c r="C86" s="4">
        <v>0.3520833333333333</v>
      </c>
      <c r="D86" s="4">
        <v>0.51180555555555551</v>
      </c>
      <c r="E86" s="4">
        <v>0.57500000000000007</v>
      </c>
      <c r="F86" s="4">
        <v>0.68541666666666667</v>
      </c>
      <c r="G86" s="5">
        <f t="shared" si="2"/>
        <v>6.4833333333333316</v>
      </c>
      <c r="H86" s="8">
        <f t="shared" si="3"/>
        <v>0.96875</v>
      </c>
    </row>
    <row r="87" spans="1:8" x14ac:dyDescent="0.25">
      <c r="A87">
        <v>2</v>
      </c>
      <c r="B87" s="2">
        <v>44125</v>
      </c>
      <c r="C87" s="4">
        <v>0.36527777777777781</v>
      </c>
      <c r="D87" s="4">
        <v>0.50138888888888888</v>
      </c>
      <c r="E87" s="4">
        <v>0.54166666666666663</v>
      </c>
      <c r="F87" s="4">
        <v>0.6972222222222223</v>
      </c>
      <c r="G87" s="5">
        <f t="shared" si="2"/>
        <v>7.0000000000000018</v>
      </c>
      <c r="H87" s="8">
        <f t="shared" si="3"/>
        <v>0.98888888888888893</v>
      </c>
    </row>
    <row r="88" spans="1:8" x14ac:dyDescent="0.25">
      <c r="A88">
        <v>67</v>
      </c>
      <c r="B88" s="2">
        <v>44124</v>
      </c>
      <c r="C88" s="4">
        <v>0.31458333333333333</v>
      </c>
      <c r="D88" s="4">
        <v>0.51041666666666663</v>
      </c>
      <c r="E88" s="4">
        <v>0.55069444444444449</v>
      </c>
      <c r="F88" s="4">
        <v>0.70000000000000007</v>
      </c>
      <c r="G88" s="5">
        <f t="shared" si="2"/>
        <v>8.2833333333333332</v>
      </c>
      <c r="H88" s="8">
        <f t="shared" si="3"/>
        <v>1.0305555555555554</v>
      </c>
    </row>
    <row r="89" spans="1:8" x14ac:dyDescent="0.25">
      <c r="A89">
        <v>77</v>
      </c>
      <c r="B89" s="2">
        <v>44125</v>
      </c>
      <c r="C89" s="4">
        <v>0.37986111111111115</v>
      </c>
      <c r="D89" s="4">
        <v>0.51111111111111118</v>
      </c>
      <c r="E89" s="4">
        <v>0.57708333333333328</v>
      </c>
      <c r="F89" s="4">
        <v>0.68888888888888899</v>
      </c>
      <c r="G89" s="5">
        <f t="shared" si="2"/>
        <v>5.8333333333333375</v>
      </c>
      <c r="H89" s="8">
        <f t="shared" si="3"/>
        <v>1.9388888888888889</v>
      </c>
    </row>
    <row r="90" spans="1:8" x14ac:dyDescent="0.25">
      <c r="A90">
        <v>72</v>
      </c>
      <c r="B90" s="2">
        <v>44123</v>
      </c>
      <c r="C90" s="4">
        <v>0.38750000000000001</v>
      </c>
      <c r="D90" s="4">
        <v>0.51458333333333328</v>
      </c>
      <c r="E90" s="4">
        <v>0.54652777777777783</v>
      </c>
      <c r="F90" s="4">
        <v>0.68958333333333333</v>
      </c>
      <c r="G90" s="5">
        <f t="shared" si="2"/>
        <v>6.4833333333333307</v>
      </c>
      <c r="H90" s="8">
        <f t="shared" si="3"/>
        <v>1.9618055555555554</v>
      </c>
    </row>
    <row r="91" spans="1:8" x14ac:dyDescent="0.25">
      <c r="A91">
        <v>62</v>
      </c>
      <c r="B91" s="2">
        <v>44124</v>
      </c>
      <c r="C91" s="4">
        <v>0.31597222222222221</v>
      </c>
      <c r="D91" s="4">
        <v>0.50208333333333333</v>
      </c>
      <c r="E91" s="4">
        <v>0.5541666666666667</v>
      </c>
      <c r="F91" s="4">
        <v>0.69652777777777775</v>
      </c>
      <c r="G91" s="5">
        <f t="shared" si="2"/>
        <v>7.883333333333332</v>
      </c>
      <c r="H91" s="8">
        <f t="shared" si="3"/>
        <v>1.0256944444444445</v>
      </c>
    </row>
    <row r="92" spans="1:8" x14ac:dyDescent="0.25">
      <c r="A92">
        <v>61</v>
      </c>
      <c r="B92" s="2">
        <v>44124</v>
      </c>
      <c r="C92" s="4">
        <v>0.37708333333333338</v>
      </c>
      <c r="D92" s="4">
        <v>0.50069444444444444</v>
      </c>
      <c r="E92" s="4">
        <v>0.56597222222222221</v>
      </c>
      <c r="F92" s="4">
        <v>0.69444444444444453</v>
      </c>
      <c r="G92" s="5">
        <f t="shared" si="2"/>
        <v>6.0500000000000007</v>
      </c>
      <c r="H92" s="8">
        <f t="shared" si="3"/>
        <v>1.9527777777777777</v>
      </c>
    </row>
    <row r="93" spans="1:8" x14ac:dyDescent="0.25">
      <c r="A93">
        <v>91</v>
      </c>
      <c r="B93" s="2">
        <v>44123</v>
      </c>
      <c r="C93" s="4">
        <v>0.37013888888888885</v>
      </c>
      <c r="D93" s="4">
        <v>0.50138888888888888</v>
      </c>
      <c r="E93" s="4">
        <v>0.55625000000000002</v>
      </c>
      <c r="F93" s="4">
        <v>0.69027777777777777</v>
      </c>
      <c r="G93" s="5">
        <f t="shared" si="2"/>
        <v>6.3666666666666671</v>
      </c>
      <c r="H93" s="8">
        <f t="shared" si="3"/>
        <v>1.9694444444444446</v>
      </c>
    </row>
    <row r="94" spans="1:8" x14ac:dyDescent="0.25">
      <c r="A94">
        <v>72</v>
      </c>
      <c r="B94" s="2">
        <v>44125</v>
      </c>
      <c r="C94" s="4">
        <v>0.32361111111111113</v>
      </c>
      <c r="D94" s="4">
        <v>0.50069444444444444</v>
      </c>
      <c r="E94" s="4">
        <v>0.57847222222222217</v>
      </c>
      <c r="F94" s="4">
        <v>0.69027777777777777</v>
      </c>
      <c r="G94" s="5">
        <f t="shared" si="2"/>
        <v>6.9333333333333345</v>
      </c>
      <c r="H94" s="8">
        <f t="shared" si="3"/>
        <v>0.99375000000000002</v>
      </c>
    </row>
    <row r="95" spans="1:8" x14ac:dyDescent="0.25">
      <c r="A95">
        <v>18</v>
      </c>
      <c r="B95" s="2">
        <v>44124</v>
      </c>
      <c r="C95" s="4">
        <v>0.37291666666666662</v>
      </c>
      <c r="D95" s="4">
        <v>0.51944444444444449</v>
      </c>
      <c r="E95" s="4">
        <v>0.55625000000000002</v>
      </c>
      <c r="F95" s="4">
        <v>0.69930555555555562</v>
      </c>
      <c r="G95" s="5">
        <f t="shared" si="2"/>
        <v>6.9500000000000028</v>
      </c>
      <c r="H95" s="8">
        <f t="shared" si="3"/>
        <v>1.9666666666666668</v>
      </c>
    </row>
    <row r="96" spans="1:8" x14ac:dyDescent="0.25">
      <c r="A96">
        <v>22</v>
      </c>
      <c r="B96" s="2">
        <v>44125</v>
      </c>
      <c r="C96" s="4">
        <v>0.33611111111111108</v>
      </c>
      <c r="D96" s="4">
        <v>0.51597222222222217</v>
      </c>
      <c r="E96" s="4">
        <v>0.56736111111111109</v>
      </c>
      <c r="F96" s="4">
        <v>0.68402777777777779</v>
      </c>
      <c r="G96" s="5">
        <f t="shared" si="2"/>
        <v>7.1166666666666671</v>
      </c>
      <c r="H96" s="8">
        <f t="shared" si="3"/>
        <v>0.99236111111111114</v>
      </c>
    </row>
    <row r="97" spans="1:8" x14ac:dyDescent="0.25">
      <c r="A97">
        <v>92</v>
      </c>
      <c r="B97" s="2">
        <v>44124</v>
      </c>
      <c r="C97" s="4">
        <v>0.31319444444444444</v>
      </c>
      <c r="D97" s="4">
        <v>0.50972222222222219</v>
      </c>
      <c r="E97" s="4">
        <v>0.55069444444444449</v>
      </c>
      <c r="F97" s="4">
        <v>0.68958333333333333</v>
      </c>
      <c r="G97" s="5">
        <f t="shared" si="2"/>
        <v>8.0499999999999972</v>
      </c>
      <c r="H97" s="8">
        <f t="shared" si="3"/>
        <v>1.0319444444444443</v>
      </c>
    </row>
    <row r="98" spans="1:8" x14ac:dyDescent="0.25">
      <c r="A98">
        <v>6</v>
      </c>
      <c r="B98" s="2">
        <v>44124</v>
      </c>
      <c r="C98" s="4">
        <v>0.33055555555555555</v>
      </c>
      <c r="D98" s="4">
        <v>0.49652777777777773</v>
      </c>
      <c r="E98" s="4">
        <v>0.57430555555555551</v>
      </c>
      <c r="F98" s="4">
        <v>0.68888888888888899</v>
      </c>
      <c r="G98" s="5">
        <f t="shared" si="2"/>
        <v>6.7333333333333361</v>
      </c>
      <c r="H98" s="8">
        <f t="shared" si="3"/>
        <v>0.99097222222222225</v>
      </c>
    </row>
    <row r="99" spans="1:8" x14ac:dyDescent="0.25">
      <c r="A99">
        <v>13</v>
      </c>
      <c r="B99" s="2">
        <v>44125</v>
      </c>
      <c r="C99" s="4">
        <v>0.34513888888888888</v>
      </c>
      <c r="D99" s="4">
        <v>0.51041666666666663</v>
      </c>
      <c r="E99" s="4">
        <v>0.57500000000000007</v>
      </c>
      <c r="F99" s="4">
        <v>0.69027777777777777</v>
      </c>
      <c r="G99" s="5">
        <f t="shared" si="2"/>
        <v>6.7333333333333307</v>
      </c>
      <c r="H99" s="8">
        <f t="shared" si="3"/>
        <v>0.97569444444444442</v>
      </c>
    </row>
    <row r="100" spans="1:8" x14ac:dyDescent="0.25">
      <c r="A100">
        <v>74</v>
      </c>
      <c r="B100" s="2">
        <v>44124</v>
      </c>
      <c r="C100" s="4">
        <v>0.33333333333333331</v>
      </c>
      <c r="D100" s="4">
        <v>0.50277777777777777</v>
      </c>
      <c r="E100" s="4">
        <v>0.55972222222222223</v>
      </c>
      <c r="F100" s="4">
        <v>0.69791666666666663</v>
      </c>
      <c r="G100" s="5">
        <f t="shared" si="2"/>
        <v>7.383333333333332</v>
      </c>
      <c r="H100" s="8">
        <f t="shared" si="3"/>
        <v>1.0027777777777778</v>
      </c>
    </row>
    <row r="101" spans="1:8" x14ac:dyDescent="0.25">
      <c r="A101">
        <v>54</v>
      </c>
      <c r="B101" s="2">
        <v>44126</v>
      </c>
      <c r="C101" s="4">
        <v>0.33263888888888887</v>
      </c>
      <c r="D101" s="4">
        <v>0.51527777777777783</v>
      </c>
      <c r="E101" s="4">
        <v>0.54583333333333328</v>
      </c>
      <c r="F101" s="4">
        <v>0.69791666666666663</v>
      </c>
      <c r="G101" s="5">
        <f t="shared" si="2"/>
        <v>8.033333333333335</v>
      </c>
      <c r="H101" s="8">
        <f t="shared" si="3"/>
        <v>1.0173611111111112</v>
      </c>
    </row>
    <row r="102" spans="1:8" x14ac:dyDescent="0.25">
      <c r="A102">
        <v>60</v>
      </c>
      <c r="B102" s="2">
        <v>44123</v>
      </c>
      <c r="C102" s="4">
        <v>0.33749999999999997</v>
      </c>
      <c r="D102" s="4">
        <v>0.51458333333333328</v>
      </c>
      <c r="E102" s="4">
        <v>0.56388888888888888</v>
      </c>
      <c r="F102" s="4">
        <v>0.68611111111111101</v>
      </c>
      <c r="G102" s="5">
        <f t="shared" si="2"/>
        <v>7.1833333333333309</v>
      </c>
      <c r="H102" s="8">
        <f t="shared" si="3"/>
        <v>0.99444444444444446</v>
      </c>
    </row>
    <row r="103" spans="1:8" x14ac:dyDescent="0.25">
      <c r="A103">
        <v>68</v>
      </c>
      <c r="B103" s="2">
        <v>44126</v>
      </c>
      <c r="C103" s="4">
        <v>0.34375</v>
      </c>
      <c r="D103" s="4">
        <v>0.51597222222222217</v>
      </c>
      <c r="E103" s="4">
        <v>0.55069444444444449</v>
      </c>
      <c r="F103" s="4">
        <v>0.68888888888888899</v>
      </c>
      <c r="G103" s="5">
        <f t="shared" si="2"/>
        <v>7.45</v>
      </c>
      <c r="H103" s="8">
        <f t="shared" si="3"/>
        <v>1.0013888888888889</v>
      </c>
    </row>
    <row r="104" spans="1:8" x14ac:dyDescent="0.25">
      <c r="A104">
        <v>49</v>
      </c>
      <c r="B104" s="2">
        <v>44125</v>
      </c>
      <c r="C104" s="4">
        <v>0.34930555555555554</v>
      </c>
      <c r="D104" s="4">
        <v>0.5</v>
      </c>
      <c r="E104" s="4">
        <v>0.57638888888888895</v>
      </c>
      <c r="F104" s="4">
        <v>0.69374999999999998</v>
      </c>
      <c r="G104" s="5">
        <f t="shared" si="2"/>
        <v>6.4333333333333318</v>
      </c>
      <c r="H104" s="8">
        <f t="shared" si="3"/>
        <v>0.97013888888888888</v>
      </c>
    </row>
    <row r="105" spans="1:8" x14ac:dyDescent="0.25">
      <c r="A105">
        <v>91</v>
      </c>
      <c r="B105" s="2">
        <v>44123</v>
      </c>
      <c r="C105" s="4">
        <v>0.3666666666666667</v>
      </c>
      <c r="D105" s="4">
        <v>0.51597222222222217</v>
      </c>
      <c r="E105" s="4">
        <v>0.56805555555555554</v>
      </c>
      <c r="F105" s="4">
        <v>0.68958333333333333</v>
      </c>
      <c r="G105" s="5">
        <f t="shared" si="2"/>
        <v>6.4999999999999982</v>
      </c>
      <c r="H105" s="8">
        <f t="shared" si="3"/>
        <v>1.9611111111111112</v>
      </c>
    </row>
    <row r="106" spans="1:8" x14ac:dyDescent="0.25">
      <c r="A106">
        <v>94</v>
      </c>
      <c r="B106" s="2">
        <v>44124</v>
      </c>
      <c r="C106" s="4">
        <v>0.31527777777777777</v>
      </c>
      <c r="D106" s="4">
        <v>0.50972222222222219</v>
      </c>
      <c r="E106" s="4">
        <v>0.56111111111111112</v>
      </c>
      <c r="F106" s="4">
        <v>0.69791666666666663</v>
      </c>
      <c r="G106" s="5">
        <f t="shared" si="2"/>
        <v>7.9499999999999984</v>
      </c>
      <c r="H106" s="8">
        <f t="shared" si="3"/>
        <v>1.0194444444444444</v>
      </c>
    </row>
    <row r="107" spans="1:8" x14ac:dyDescent="0.25">
      <c r="A107">
        <v>56</v>
      </c>
      <c r="B107" s="2">
        <v>44124</v>
      </c>
      <c r="C107" s="4">
        <v>0.32777777777777778</v>
      </c>
      <c r="D107" s="4">
        <v>0.51250000000000007</v>
      </c>
      <c r="E107" s="4">
        <v>0.54375000000000007</v>
      </c>
      <c r="F107" s="4">
        <v>0.6958333333333333</v>
      </c>
      <c r="G107" s="5">
        <f t="shared" si="2"/>
        <v>8.0833333333333321</v>
      </c>
      <c r="H107" s="8">
        <f t="shared" si="3"/>
        <v>1.0243055555555554</v>
      </c>
    </row>
    <row r="108" spans="1:8" x14ac:dyDescent="0.25">
      <c r="A108">
        <v>34</v>
      </c>
      <c r="B108" s="2">
        <v>44126</v>
      </c>
      <c r="C108" s="4">
        <v>0.33611111111111108</v>
      </c>
      <c r="D108" s="4">
        <v>0.49652777777777773</v>
      </c>
      <c r="E108" s="4">
        <v>0.54097222222222219</v>
      </c>
      <c r="F108" s="4">
        <v>0.68541666666666667</v>
      </c>
      <c r="G108" s="5">
        <f t="shared" si="2"/>
        <v>7.3166666666666673</v>
      </c>
      <c r="H108" s="8">
        <f t="shared" si="3"/>
        <v>1.8750000000000044E-2</v>
      </c>
    </row>
    <row r="109" spans="1:8" x14ac:dyDescent="0.25">
      <c r="A109">
        <v>93</v>
      </c>
      <c r="B109" s="2">
        <v>44124</v>
      </c>
      <c r="C109" s="4">
        <v>0.33958333333333335</v>
      </c>
      <c r="D109" s="4">
        <v>0.5180555555555556</v>
      </c>
      <c r="E109" s="4">
        <v>0.57291666666666663</v>
      </c>
      <c r="F109" s="4">
        <v>0.69097222222222221</v>
      </c>
      <c r="G109" s="5">
        <f t="shared" si="2"/>
        <v>7.116666666666668</v>
      </c>
      <c r="H109" s="8">
        <f t="shared" si="3"/>
        <v>0.98333333333333339</v>
      </c>
    </row>
    <row r="110" spans="1:8" x14ac:dyDescent="0.25">
      <c r="A110">
        <v>49</v>
      </c>
      <c r="B110" s="2">
        <v>44125</v>
      </c>
      <c r="C110" s="4">
        <v>0.33055555555555555</v>
      </c>
      <c r="D110" s="4">
        <v>0.51111111111111118</v>
      </c>
      <c r="E110" s="4">
        <v>0.54583333333333328</v>
      </c>
      <c r="F110" s="4">
        <v>0.68819444444444444</v>
      </c>
      <c r="G110" s="5">
        <f t="shared" si="2"/>
        <v>7.7500000000000036</v>
      </c>
      <c r="H110" s="8">
        <f t="shared" si="3"/>
        <v>1.0194444444444444</v>
      </c>
    </row>
    <row r="111" spans="1:8" x14ac:dyDescent="0.25">
      <c r="A111">
        <v>83</v>
      </c>
      <c r="B111" s="2">
        <v>44125</v>
      </c>
      <c r="C111" s="4">
        <v>0.34027777777777773</v>
      </c>
      <c r="D111" s="4">
        <v>0.49791666666666662</v>
      </c>
      <c r="E111" s="4">
        <v>0.57500000000000007</v>
      </c>
      <c r="F111" s="4">
        <v>0.69374999999999998</v>
      </c>
      <c r="G111" s="5">
        <f t="shared" si="2"/>
        <v>6.6333333333333311</v>
      </c>
      <c r="H111" s="8">
        <f t="shared" si="3"/>
        <v>0.98055555555555551</v>
      </c>
    </row>
    <row r="112" spans="1:8" x14ac:dyDescent="0.25">
      <c r="A112">
        <v>43</v>
      </c>
      <c r="B112" s="2">
        <v>44124</v>
      </c>
      <c r="C112" s="4">
        <v>0.36736111111111108</v>
      </c>
      <c r="D112" s="4">
        <v>0.51041666666666663</v>
      </c>
      <c r="E112" s="4">
        <v>0.55555555555555558</v>
      </c>
      <c r="F112" s="4">
        <v>0.70208333333333339</v>
      </c>
      <c r="G112" s="5">
        <f t="shared" si="2"/>
        <v>6.9500000000000011</v>
      </c>
      <c r="H112" s="8">
        <f t="shared" si="3"/>
        <v>1.9729166666666667</v>
      </c>
    </row>
    <row r="113" spans="1:8" x14ac:dyDescent="0.25">
      <c r="A113">
        <v>56</v>
      </c>
      <c r="B113" s="2">
        <v>44123</v>
      </c>
      <c r="C113" s="4">
        <v>0.3347222222222222</v>
      </c>
      <c r="D113" s="4">
        <v>0.50763888888888886</v>
      </c>
      <c r="E113" s="4">
        <v>0.56111111111111112</v>
      </c>
      <c r="F113" s="4">
        <v>0.68958333333333333</v>
      </c>
      <c r="G113" s="5">
        <f t="shared" si="2"/>
        <v>7.2333333333333334</v>
      </c>
      <c r="H113" s="8">
        <f t="shared" si="3"/>
        <v>1</v>
      </c>
    </row>
    <row r="114" spans="1:8" x14ac:dyDescent="0.25">
      <c r="A114">
        <v>49</v>
      </c>
      <c r="B114" s="2">
        <v>44125</v>
      </c>
      <c r="C114" s="4">
        <v>0.32361111111111113</v>
      </c>
      <c r="D114" s="4">
        <v>0.51527777777777783</v>
      </c>
      <c r="E114" s="4">
        <v>0.56666666666666665</v>
      </c>
      <c r="F114" s="4">
        <v>0.69236111111111109</v>
      </c>
      <c r="G114" s="5">
        <f t="shared" si="2"/>
        <v>7.616666666666668</v>
      </c>
      <c r="H114" s="8">
        <f t="shared" si="3"/>
        <v>1.0055555555555555</v>
      </c>
    </row>
    <row r="115" spans="1:8" x14ac:dyDescent="0.25">
      <c r="A115">
        <v>52</v>
      </c>
      <c r="B115" s="2">
        <v>44123</v>
      </c>
      <c r="C115" s="4">
        <v>0.35694444444444445</v>
      </c>
      <c r="D115" s="4">
        <v>0.51944444444444449</v>
      </c>
      <c r="E115" s="4">
        <v>0.57430555555555551</v>
      </c>
      <c r="F115" s="4">
        <v>0.70277777777777783</v>
      </c>
      <c r="G115" s="5">
        <f t="shared" si="2"/>
        <v>6.9833333333333361</v>
      </c>
      <c r="H115" s="8">
        <f t="shared" si="3"/>
        <v>1.9645833333333333</v>
      </c>
    </row>
    <row r="116" spans="1:8" x14ac:dyDescent="0.25">
      <c r="A116">
        <v>10</v>
      </c>
      <c r="B116" s="2">
        <v>44125</v>
      </c>
      <c r="C116" s="4">
        <v>0.3611111111111111</v>
      </c>
      <c r="D116" s="4">
        <v>0.5180555555555556</v>
      </c>
      <c r="E116" s="4">
        <v>0.5625</v>
      </c>
      <c r="F116" s="4">
        <v>0.70138888888888884</v>
      </c>
      <c r="G116" s="5">
        <f t="shared" si="2"/>
        <v>7.1</v>
      </c>
      <c r="H116" s="8">
        <f t="shared" si="3"/>
        <v>1.9722222222222223</v>
      </c>
    </row>
    <row r="117" spans="1:8" x14ac:dyDescent="0.25">
      <c r="A117">
        <v>82</v>
      </c>
      <c r="B117" s="2">
        <v>44126</v>
      </c>
      <c r="C117" s="4">
        <v>0.35555555555555557</v>
      </c>
      <c r="D117" s="4">
        <v>0.5131944444444444</v>
      </c>
      <c r="E117" s="4">
        <v>0.57777777777777783</v>
      </c>
      <c r="F117" s="4">
        <v>0.70208333333333339</v>
      </c>
      <c r="G117" s="5">
        <f t="shared" si="2"/>
        <v>6.7666666666666657</v>
      </c>
      <c r="H117" s="8">
        <f t="shared" si="3"/>
        <v>1.9624999999999999</v>
      </c>
    </row>
    <row r="118" spans="1:8" x14ac:dyDescent="0.25">
      <c r="A118">
        <v>100</v>
      </c>
      <c r="B118" s="2">
        <v>44125</v>
      </c>
      <c r="C118" s="4">
        <v>0.34027777777777773</v>
      </c>
      <c r="D118" s="4">
        <v>0.51944444444444449</v>
      </c>
      <c r="E118" s="4">
        <v>0.56388888888888888</v>
      </c>
      <c r="F118" s="4">
        <v>0.69027777777777777</v>
      </c>
      <c r="G118" s="5">
        <f t="shared" si="2"/>
        <v>7.3333333333333357</v>
      </c>
      <c r="H118" s="8">
        <f t="shared" si="3"/>
        <v>0.9916666666666667</v>
      </c>
    </row>
    <row r="119" spans="1:8" x14ac:dyDescent="0.25">
      <c r="A119">
        <v>20</v>
      </c>
      <c r="B119" s="2">
        <v>44126</v>
      </c>
      <c r="C119" s="4">
        <v>0.37222222222222223</v>
      </c>
      <c r="D119" s="4">
        <v>0.50763888888888886</v>
      </c>
      <c r="E119" s="4">
        <v>0.57222222222222219</v>
      </c>
      <c r="F119" s="4">
        <v>0.7006944444444444</v>
      </c>
      <c r="G119" s="5">
        <f t="shared" si="2"/>
        <v>6.3333333333333321</v>
      </c>
      <c r="H119" s="8">
        <f t="shared" si="3"/>
        <v>1.9513888888888888</v>
      </c>
    </row>
    <row r="120" spans="1:8" x14ac:dyDescent="0.25">
      <c r="A120">
        <v>69</v>
      </c>
      <c r="B120" s="2">
        <v>44123</v>
      </c>
      <c r="C120" s="4">
        <v>0.34791666666666665</v>
      </c>
      <c r="D120" s="4">
        <v>0.51944444444444449</v>
      </c>
      <c r="E120" s="4">
        <v>0.54722222222222217</v>
      </c>
      <c r="F120" s="4">
        <v>0.68611111111111101</v>
      </c>
      <c r="G120" s="5">
        <f t="shared" si="2"/>
        <v>7.45</v>
      </c>
      <c r="H120" s="8">
        <f t="shared" si="3"/>
        <v>1.0006944444444446</v>
      </c>
    </row>
    <row r="121" spans="1:8" x14ac:dyDescent="0.25">
      <c r="A121">
        <v>35</v>
      </c>
      <c r="B121" s="2">
        <v>44124</v>
      </c>
      <c r="C121" s="4">
        <v>0.37083333333333335</v>
      </c>
      <c r="D121" s="4">
        <v>0.50486111111111109</v>
      </c>
      <c r="E121" s="4">
        <v>0.53819444444444442</v>
      </c>
      <c r="F121" s="4">
        <v>0.7006944444444444</v>
      </c>
      <c r="G121" s="5">
        <f t="shared" si="2"/>
        <v>7.1166666666666654</v>
      </c>
      <c r="H121" s="8">
        <f t="shared" si="3"/>
        <v>0.9868055555555556</v>
      </c>
    </row>
    <row r="122" spans="1:8" x14ac:dyDescent="0.25">
      <c r="A122">
        <v>85</v>
      </c>
      <c r="B122" s="2">
        <v>44126</v>
      </c>
      <c r="C122" s="4">
        <v>0.32361111111111113</v>
      </c>
      <c r="D122" s="4">
        <v>0.50902777777777775</v>
      </c>
      <c r="E122" s="4">
        <v>0.57013888888888886</v>
      </c>
      <c r="F122" s="4">
        <v>0.70347222222222217</v>
      </c>
      <c r="G122" s="5">
        <f t="shared" si="2"/>
        <v>7.6499999999999986</v>
      </c>
      <c r="H122" s="8">
        <f t="shared" si="3"/>
        <v>1.0020833333333332</v>
      </c>
    </row>
    <row r="123" spans="1:8" x14ac:dyDescent="0.25">
      <c r="A123">
        <v>65</v>
      </c>
      <c r="B123" s="2">
        <v>44123</v>
      </c>
      <c r="C123" s="4">
        <v>0.32361111111111113</v>
      </c>
      <c r="D123" s="4">
        <v>0.52013888888888882</v>
      </c>
      <c r="E123" s="4">
        <v>0.57430555555555551</v>
      </c>
      <c r="F123" s="4">
        <v>0.69166666666666676</v>
      </c>
      <c r="G123" s="5">
        <f t="shared" si="2"/>
        <v>7.533333333333335</v>
      </c>
      <c r="H123" s="8">
        <f t="shared" si="3"/>
        <v>0.99791666666666667</v>
      </c>
    </row>
    <row r="124" spans="1:8" x14ac:dyDescent="0.25">
      <c r="A124">
        <v>66</v>
      </c>
      <c r="B124" s="2">
        <v>44123</v>
      </c>
      <c r="C124" s="4">
        <v>0.36805555555555558</v>
      </c>
      <c r="D124" s="4">
        <v>0.49861111111111112</v>
      </c>
      <c r="E124" s="4">
        <v>0.56805555555555554</v>
      </c>
      <c r="F124" s="4">
        <v>0.68680555555555556</v>
      </c>
      <c r="G124" s="5">
        <f t="shared" si="2"/>
        <v>5.9833333333333334</v>
      </c>
      <c r="H124" s="8">
        <f t="shared" si="3"/>
        <v>1.9597222222222221</v>
      </c>
    </row>
    <row r="125" spans="1:8" x14ac:dyDescent="0.25">
      <c r="A125">
        <v>45</v>
      </c>
      <c r="B125" s="2">
        <v>44126</v>
      </c>
      <c r="C125" s="4">
        <v>0.37013888888888885</v>
      </c>
      <c r="D125" s="4">
        <v>0.51597222222222217</v>
      </c>
      <c r="E125" s="4">
        <v>0.55694444444444446</v>
      </c>
      <c r="F125" s="4">
        <v>0.69097222222222221</v>
      </c>
      <c r="G125" s="5">
        <f t="shared" si="2"/>
        <v>6.716666666666665</v>
      </c>
      <c r="H125" s="8">
        <f t="shared" si="3"/>
        <v>1.96875</v>
      </c>
    </row>
    <row r="126" spans="1:8" x14ac:dyDescent="0.25">
      <c r="A126">
        <v>20</v>
      </c>
      <c r="B126" s="2">
        <v>44125</v>
      </c>
      <c r="C126" s="4">
        <v>0.3743055555555555</v>
      </c>
      <c r="D126" s="4">
        <v>0.51458333333333328</v>
      </c>
      <c r="E126" s="4">
        <v>0.55208333333333337</v>
      </c>
      <c r="F126" s="4">
        <v>0.70416666666666661</v>
      </c>
      <c r="G126" s="5">
        <f t="shared" si="2"/>
        <v>7.0166666666666639</v>
      </c>
      <c r="H126" s="8">
        <f t="shared" si="3"/>
        <v>1.9694444444444446</v>
      </c>
    </row>
    <row r="127" spans="1:8" x14ac:dyDescent="0.25">
      <c r="A127">
        <v>42</v>
      </c>
      <c r="B127" s="2">
        <v>44124</v>
      </c>
      <c r="C127" s="4">
        <v>0.32847222222222222</v>
      </c>
      <c r="D127" s="4">
        <v>0.51388888888888895</v>
      </c>
      <c r="E127" s="4">
        <v>0.5541666666666667</v>
      </c>
      <c r="F127" s="4">
        <v>0.68402777777777779</v>
      </c>
      <c r="G127" s="5">
        <f t="shared" si="2"/>
        <v>7.5666666666666673</v>
      </c>
      <c r="H127" s="8">
        <f t="shared" si="3"/>
        <v>1.0131944444444443</v>
      </c>
    </row>
    <row r="128" spans="1:8" x14ac:dyDescent="0.25">
      <c r="A128">
        <v>30</v>
      </c>
      <c r="B128" s="2">
        <v>44125</v>
      </c>
      <c r="C128" s="4">
        <v>0.36041666666666666</v>
      </c>
      <c r="D128" s="4">
        <v>0.51597222222222217</v>
      </c>
      <c r="E128" s="4">
        <v>0.5395833333333333</v>
      </c>
      <c r="F128" s="4">
        <v>0.69236111111111109</v>
      </c>
      <c r="G128" s="5">
        <f t="shared" si="2"/>
        <v>7.3999999999999986</v>
      </c>
      <c r="H128" s="8">
        <f t="shared" si="3"/>
        <v>0.99583333333333335</v>
      </c>
    </row>
    <row r="129" spans="1:8" x14ac:dyDescent="0.25">
      <c r="A129">
        <v>6</v>
      </c>
      <c r="B129" s="2">
        <v>44126</v>
      </c>
      <c r="C129" s="4">
        <v>0.34166666666666662</v>
      </c>
      <c r="D129" s="4">
        <v>0.50486111111111109</v>
      </c>
      <c r="E129" s="4">
        <v>0.56944444444444442</v>
      </c>
      <c r="F129" s="4">
        <v>0.6875</v>
      </c>
      <c r="G129" s="5">
        <f t="shared" si="2"/>
        <v>6.7500000000000018</v>
      </c>
      <c r="H129" s="8">
        <f t="shared" si="3"/>
        <v>0.98472222222222228</v>
      </c>
    </row>
    <row r="130" spans="1:8" x14ac:dyDescent="0.25">
      <c r="A130">
        <v>8</v>
      </c>
      <c r="B130" s="2">
        <v>44123</v>
      </c>
      <c r="C130" s="4">
        <v>0.3125</v>
      </c>
      <c r="D130" s="4">
        <v>0.49861111111111112</v>
      </c>
      <c r="E130" s="4">
        <v>0.57152777777777775</v>
      </c>
      <c r="F130" s="4">
        <v>0.68402777777777779</v>
      </c>
      <c r="G130" s="5">
        <f t="shared" si="2"/>
        <v>7.1666666666666679</v>
      </c>
      <c r="H130" s="8">
        <f t="shared" si="3"/>
        <v>1.0118055555555556</v>
      </c>
    </row>
    <row r="131" spans="1:8" x14ac:dyDescent="0.25">
      <c r="A131">
        <v>48</v>
      </c>
      <c r="B131" s="2">
        <v>44125</v>
      </c>
      <c r="C131" s="4">
        <v>0.33680555555555558</v>
      </c>
      <c r="D131" s="4">
        <v>0.51041666666666663</v>
      </c>
      <c r="E131" s="4">
        <v>0.55277777777777781</v>
      </c>
      <c r="F131" s="4">
        <v>0.69305555555555554</v>
      </c>
      <c r="G131" s="5">
        <f t="shared" si="2"/>
        <v>7.5333333333333306</v>
      </c>
      <c r="H131" s="8">
        <f t="shared" si="3"/>
        <v>1.0062499999999999</v>
      </c>
    </row>
    <row r="132" spans="1:8" x14ac:dyDescent="0.25">
      <c r="A132">
        <v>24</v>
      </c>
      <c r="B132" s="2">
        <v>44124</v>
      </c>
      <c r="C132" s="4">
        <v>0.34236111111111112</v>
      </c>
      <c r="D132" s="4">
        <v>0.49861111111111112</v>
      </c>
      <c r="E132" s="4">
        <v>0.56527777777777777</v>
      </c>
      <c r="F132" s="4">
        <v>0.6972222222222223</v>
      </c>
      <c r="G132" s="5">
        <f t="shared" si="2"/>
        <v>6.9166666666666687</v>
      </c>
      <c r="H132" s="8">
        <f t="shared" si="3"/>
        <v>0.98819444444444438</v>
      </c>
    </row>
    <row r="133" spans="1:8" x14ac:dyDescent="0.25">
      <c r="A133">
        <v>3</v>
      </c>
      <c r="B133" s="2">
        <v>44124</v>
      </c>
      <c r="C133" s="4">
        <v>0.32708333333333334</v>
      </c>
      <c r="D133" s="4">
        <v>0.50277777777777777</v>
      </c>
      <c r="E133" s="4">
        <v>0.57013888888888886</v>
      </c>
      <c r="F133" s="4">
        <v>0.69097222222222221</v>
      </c>
      <c r="G133" s="5">
        <f t="shared" si="2"/>
        <v>7.1166666666666671</v>
      </c>
      <c r="H133" s="8">
        <f t="shared" si="3"/>
        <v>0.99861111111111112</v>
      </c>
    </row>
    <row r="134" spans="1:8" x14ac:dyDescent="0.25">
      <c r="A134">
        <v>77</v>
      </c>
      <c r="B134" s="2">
        <v>44125</v>
      </c>
      <c r="C134" s="4">
        <v>0.38263888888888892</v>
      </c>
      <c r="D134" s="4">
        <v>0.51388888888888895</v>
      </c>
      <c r="E134" s="4">
        <v>0.56180555555555556</v>
      </c>
      <c r="F134" s="4">
        <v>0.70138888888888884</v>
      </c>
      <c r="G134" s="5">
        <f t="shared" si="2"/>
        <v>6.5</v>
      </c>
      <c r="H134" s="8">
        <f t="shared" si="3"/>
        <v>1.9513888888888888</v>
      </c>
    </row>
    <row r="135" spans="1:8" x14ac:dyDescent="0.25">
      <c r="A135">
        <v>99</v>
      </c>
      <c r="B135" s="2">
        <v>44124</v>
      </c>
      <c r="C135" s="4">
        <v>0.31666666666666665</v>
      </c>
      <c r="D135" s="4">
        <v>0.50555555555555554</v>
      </c>
      <c r="E135" s="4">
        <v>0.54166666666666663</v>
      </c>
      <c r="F135" s="4">
        <v>0.68958333333333333</v>
      </c>
      <c r="G135" s="5">
        <f t="shared" si="2"/>
        <v>8.0833333333333339</v>
      </c>
      <c r="H135" s="8">
        <f t="shared" si="3"/>
        <v>3.7500000000000033E-2</v>
      </c>
    </row>
    <row r="136" spans="1:8" x14ac:dyDescent="0.25">
      <c r="A136">
        <v>73</v>
      </c>
      <c r="B136" s="2">
        <v>44125</v>
      </c>
      <c r="C136" s="4">
        <v>0.36527777777777781</v>
      </c>
      <c r="D136" s="4">
        <v>0.50208333333333333</v>
      </c>
      <c r="E136" s="4">
        <v>0.53888888888888886</v>
      </c>
      <c r="F136" s="4">
        <v>0.69444444444444453</v>
      </c>
      <c r="G136" s="5">
        <f t="shared" ref="G136:G199" si="4">((D136-C136)*24)+((F136-E136)*24)</f>
        <v>7.0166666666666684</v>
      </c>
      <c r="H136" s="8">
        <f t="shared" ref="H136:H199" si="5">MOD((TIME(8,30,0)-C136),1)+MOD((TIME(13,0,0)-E136),1)</f>
        <v>0.9916666666666667</v>
      </c>
    </row>
    <row r="137" spans="1:8" x14ac:dyDescent="0.25">
      <c r="A137">
        <v>27</v>
      </c>
      <c r="B137" s="2">
        <v>44123</v>
      </c>
      <c r="C137" s="4">
        <v>0.37361111111111112</v>
      </c>
      <c r="D137" s="4">
        <v>0.51250000000000007</v>
      </c>
      <c r="E137" s="4">
        <v>0.56527777777777777</v>
      </c>
      <c r="F137" s="4">
        <v>0.70138888888888884</v>
      </c>
      <c r="G137" s="5">
        <f t="shared" si="4"/>
        <v>6.6000000000000005</v>
      </c>
      <c r="H137" s="8">
        <f t="shared" si="5"/>
        <v>1.9569444444444444</v>
      </c>
    </row>
    <row r="138" spans="1:8" x14ac:dyDescent="0.25">
      <c r="A138">
        <v>78</v>
      </c>
      <c r="B138" s="2">
        <v>44125</v>
      </c>
      <c r="C138" s="4">
        <v>0.34236111111111112</v>
      </c>
      <c r="D138" s="4">
        <v>0.51944444444444449</v>
      </c>
      <c r="E138" s="4">
        <v>0.54166666666666663</v>
      </c>
      <c r="F138" s="4">
        <v>0.70277777777777783</v>
      </c>
      <c r="G138" s="5">
        <f t="shared" si="4"/>
        <v>8.1166666666666707</v>
      </c>
      <c r="H138" s="8">
        <f t="shared" si="5"/>
        <v>1.1805555555555569E-2</v>
      </c>
    </row>
    <row r="139" spans="1:8" x14ac:dyDescent="0.25">
      <c r="A139">
        <v>90</v>
      </c>
      <c r="B139" s="2">
        <v>44124</v>
      </c>
      <c r="C139" s="4">
        <v>0.36041666666666666</v>
      </c>
      <c r="D139" s="4">
        <v>0.49722222222222223</v>
      </c>
      <c r="E139" s="4">
        <v>0.57847222222222217</v>
      </c>
      <c r="F139" s="4">
        <v>0.69444444444444453</v>
      </c>
      <c r="G139" s="5">
        <f t="shared" si="4"/>
        <v>6.06666666666667</v>
      </c>
      <c r="H139" s="8">
        <f t="shared" si="5"/>
        <v>1.9569444444444444</v>
      </c>
    </row>
    <row r="140" spans="1:8" x14ac:dyDescent="0.25">
      <c r="A140">
        <v>36</v>
      </c>
      <c r="B140" s="2">
        <v>44123</v>
      </c>
      <c r="C140" s="4">
        <v>0.35416666666666669</v>
      </c>
      <c r="D140" s="4">
        <v>0.51736111111111105</v>
      </c>
      <c r="E140" s="4">
        <v>0.57361111111111118</v>
      </c>
      <c r="F140" s="4">
        <v>0.6972222222222223</v>
      </c>
      <c r="G140" s="5">
        <f t="shared" si="4"/>
        <v>6.8833333333333311</v>
      </c>
      <c r="H140" s="8">
        <f t="shared" si="5"/>
        <v>0.96805555555555545</v>
      </c>
    </row>
    <row r="141" spans="1:8" x14ac:dyDescent="0.25">
      <c r="A141">
        <v>65</v>
      </c>
      <c r="B141" s="2">
        <v>44124</v>
      </c>
      <c r="C141" s="4">
        <v>0.38125000000000003</v>
      </c>
      <c r="D141" s="4">
        <v>0.51666666666666672</v>
      </c>
      <c r="E141" s="4">
        <v>0.55833333333333335</v>
      </c>
      <c r="F141" s="4">
        <v>0.70347222222222217</v>
      </c>
      <c r="G141" s="5">
        <f t="shared" si="4"/>
        <v>6.7333333333333325</v>
      </c>
      <c r="H141" s="8">
        <f t="shared" si="5"/>
        <v>1.9562499999999998</v>
      </c>
    </row>
    <row r="142" spans="1:8" x14ac:dyDescent="0.25">
      <c r="A142">
        <v>92</v>
      </c>
      <c r="B142" s="2">
        <v>44123</v>
      </c>
      <c r="C142" s="4">
        <v>0.3430555555555555</v>
      </c>
      <c r="D142" s="4">
        <v>0.51111111111111118</v>
      </c>
      <c r="E142" s="4">
        <v>0.57430555555555551</v>
      </c>
      <c r="F142" s="4">
        <v>0.68611111111111101</v>
      </c>
      <c r="G142" s="5">
        <f t="shared" si="4"/>
        <v>6.7166666666666686</v>
      </c>
      <c r="H142" s="8">
        <f t="shared" si="5"/>
        <v>0.9784722222222223</v>
      </c>
    </row>
    <row r="143" spans="1:8" x14ac:dyDescent="0.25">
      <c r="A143">
        <v>77</v>
      </c>
      <c r="B143" s="2">
        <v>44123</v>
      </c>
      <c r="C143" s="4">
        <v>0.37152777777777773</v>
      </c>
      <c r="D143" s="4">
        <v>0.51250000000000007</v>
      </c>
      <c r="E143" s="4">
        <v>0.55902777777777779</v>
      </c>
      <c r="F143" s="4">
        <v>0.69236111111111109</v>
      </c>
      <c r="G143" s="5">
        <f t="shared" si="4"/>
        <v>6.5833333333333357</v>
      </c>
      <c r="H143" s="8">
        <f t="shared" si="5"/>
        <v>1.9652777777777777</v>
      </c>
    </row>
    <row r="144" spans="1:8" x14ac:dyDescent="0.25">
      <c r="A144">
        <v>5</v>
      </c>
      <c r="B144" s="2">
        <v>44125</v>
      </c>
      <c r="C144" s="4">
        <v>0.33124999999999999</v>
      </c>
      <c r="D144" s="4">
        <v>0.49652777777777773</v>
      </c>
      <c r="E144" s="4">
        <v>0.55694444444444446</v>
      </c>
      <c r="F144" s="4">
        <v>0.70277777777777783</v>
      </c>
      <c r="G144" s="5">
        <f t="shared" si="4"/>
        <v>7.4666666666666668</v>
      </c>
      <c r="H144" s="8">
        <f t="shared" si="5"/>
        <v>1.0076388888888888</v>
      </c>
    </row>
    <row r="145" spans="1:8" x14ac:dyDescent="0.25">
      <c r="A145">
        <v>70</v>
      </c>
      <c r="B145" s="2">
        <v>44125</v>
      </c>
      <c r="C145" s="4">
        <v>0.34652777777777777</v>
      </c>
      <c r="D145" s="4">
        <v>0.50555555555555554</v>
      </c>
      <c r="E145" s="4">
        <v>0.55625000000000002</v>
      </c>
      <c r="F145" s="4">
        <v>0.69305555555555554</v>
      </c>
      <c r="G145" s="5">
        <f t="shared" si="4"/>
        <v>7.0999999999999988</v>
      </c>
      <c r="H145" s="8">
        <f t="shared" si="5"/>
        <v>0.99305555555555558</v>
      </c>
    </row>
    <row r="146" spans="1:8" x14ac:dyDescent="0.25">
      <c r="A146">
        <v>52</v>
      </c>
      <c r="B146" s="2">
        <v>44126</v>
      </c>
      <c r="C146" s="4">
        <v>0.375</v>
      </c>
      <c r="D146" s="4">
        <v>0.50763888888888886</v>
      </c>
      <c r="E146" s="4">
        <v>0.57152777777777775</v>
      </c>
      <c r="F146" s="4">
        <v>0.69861111111111107</v>
      </c>
      <c r="G146" s="5">
        <f t="shared" si="4"/>
        <v>6.2333333333333325</v>
      </c>
      <c r="H146" s="8">
        <f t="shared" si="5"/>
        <v>1.9493055555555556</v>
      </c>
    </row>
    <row r="147" spans="1:8" x14ac:dyDescent="0.25">
      <c r="A147">
        <v>22</v>
      </c>
      <c r="B147" s="2">
        <v>44123</v>
      </c>
      <c r="C147" s="4">
        <v>0.38611111111111113</v>
      </c>
      <c r="D147" s="4">
        <v>0.50694444444444442</v>
      </c>
      <c r="E147" s="4">
        <v>0.57638888888888895</v>
      </c>
      <c r="F147" s="4">
        <v>0.70416666666666661</v>
      </c>
      <c r="G147" s="5">
        <f t="shared" si="4"/>
        <v>5.9666666666666632</v>
      </c>
      <c r="H147" s="8">
        <f t="shared" si="5"/>
        <v>1.9333333333333331</v>
      </c>
    </row>
    <row r="148" spans="1:8" x14ac:dyDescent="0.25">
      <c r="A148">
        <v>6</v>
      </c>
      <c r="B148" s="2">
        <v>44124</v>
      </c>
      <c r="C148" s="4">
        <v>0.35000000000000003</v>
      </c>
      <c r="D148" s="4">
        <v>0.50763888888888886</v>
      </c>
      <c r="E148" s="4">
        <v>0.54027777777777775</v>
      </c>
      <c r="F148" s="4">
        <v>0.68958333333333333</v>
      </c>
      <c r="G148" s="5">
        <f t="shared" si="4"/>
        <v>7.3666666666666654</v>
      </c>
      <c r="H148" s="8">
        <f t="shared" si="5"/>
        <v>5.5555555555555358E-3</v>
      </c>
    </row>
    <row r="149" spans="1:8" x14ac:dyDescent="0.25">
      <c r="A149">
        <v>3</v>
      </c>
      <c r="B149" s="2">
        <v>44125</v>
      </c>
      <c r="C149" s="4">
        <v>0.34861111111111115</v>
      </c>
      <c r="D149" s="4">
        <v>0.51111111111111118</v>
      </c>
      <c r="E149" s="4">
        <v>0.55347222222222225</v>
      </c>
      <c r="F149" s="4">
        <v>0.7006944444444444</v>
      </c>
      <c r="G149" s="5">
        <f t="shared" si="4"/>
        <v>7.4333333333333318</v>
      </c>
      <c r="H149" s="8">
        <f t="shared" si="5"/>
        <v>0.99374999999999991</v>
      </c>
    </row>
    <row r="150" spans="1:8" x14ac:dyDescent="0.25">
      <c r="A150">
        <v>78</v>
      </c>
      <c r="B150" s="2">
        <v>44123</v>
      </c>
      <c r="C150" s="4">
        <v>0.38194444444444442</v>
      </c>
      <c r="D150" s="4">
        <v>0.50555555555555554</v>
      </c>
      <c r="E150" s="4">
        <v>0.57638888888888895</v>
      </c>
      <c r="F150" s="4">
        <v>0.68611111111111101</v>
      </c>
      <c r="G150" s="5">
        <f t="shared" si="4"/>
        <v>5.5999999999999961</v>
      </c>
      <c r="H150" s="8">
        <f t="shared" si="5"/>
        <v>1.9375</v>
      </c>
    </row>
    <row r="151" spans="1:8" x14ac:dyDescent="0.25">
      <c r="A151">
        <v>17</v>
      </c>
      <c r="B151" s="2">
        <v>44124</v>
      </c>
      <c r="C151" s="4">
        <v>0.32222222222222224</v>
      </c>
      <c r="D151" s="4">
        <v>0.49722222222222223</v>
      </c>
      <c r="E151" s="4">
        <v>0.5625</v>
      </c>
      <c r="F151" s="4">
        <v>0.68888888888888899</v>
      </c>
      <c r="G151" s="5">
        <f t="shared" si="4"/>
        <v>7.2333333333333352</v>
      </c>
      <c r="H151" s="8">
        <f t="shared" si="5"/>
        <v>1.0111111111111111</v>
      </c>
    </row>
    <row r="152" spans="1:8" x14ac:dyDescent="0.25">
      <c r="A152">
        <v>81</v>
      </c>
      <c r="B152" s="2">
        <v>44125</v>
      </c>
      <c r="C152" s="4">
        <v>0.36388888888888887</v>
      </c>
      <c r="D152" s="4">
        <v>0.50694444444444442</v>
      </c>
      <c r="E152" s="4">
        <v>0.57500000000000007</v>
      </c>
      <c r="F152" s="4">
        <v>0.69444444444444453</v>
      </c>
      <c r="G152" s="5">
        <f t="shared" si="4"/>
        <v>6.3000000000000007</v>
      </c>
      <c r="H152" s="8">
        <f t="shared" si="5"/>
        <v>1.9569444444444444</v>
      </c>
    </row>
    <row r="153" spans="1:8" x14ac:dyDescent="0.25">
      <c r="A153">
        <v>34</v>
      </c>
      <c r="B153" s="2">
        <v>44126</v>
      </c>
      <c r="C153" s="4">
        <v>0.3298611111111111</v>
      </c>
      <c r="D153" s="4">
        <v>0.50347222222222221</v>
      </c>
      <c r="E153" s="4">
        <v>0.56180555555555556</v>
      </c>
      <c r="F153" s="4">
        <v>0.68680555555555556</v>
      </c>
      <c r="G153" s="5">
        <f t="shared" si="4"/>
        <v>7.1666666666666661</v>
      </c>
      <c r="H153" s="8">
        <f t="shared" si="5"/>
        <v>1.0041666666666667</v>
      </c>
    </row>
    <row r="154" spans="1:8" x14ac:dyDescent="0.25">
      <c r="A154">
        <v>28</v>
      </c>
      <c r="B154" s="2">
        <v>44123</v>
      </c>
      <c r="C154" s="4">
        <v>0.32777777777777778</v>
      </c>
      <c r="D154" s="4">
        <v>0.5</v>
      </c>
      <c r="E154" s="4">
        <v>0.56597222222222221</v>
      </c>
      <c r="F154" s="4">
        <v>0.69861111111111107</v>
      </c>
      <c r="G154" s="5">
        <f t="shared" si="4"/>
        <v>7.3166666666666655</v>
      </c>
      <c r="H154" s="8">
        <f t="shared" si="5"/>
        <v>1.0020833333333332</v>
      </c>
    </row>
    <row r="155" spans="1:8" x14ac:dyDescent="0.25">
      <c r="A155">
        <v>26</v>
      </c>
      <c r="B155" s="2">
        <v>44125</v>
      </c>
      <c r="C155" s="4">
        <v>0.34652777777777777</v>
      </c>
      <c r="D155" s="4">
        <v>0.50208333333333333</v>
      </c>
      <c r="E155" s="4">
        <v>0.57013888888888886</v>
      </c>
      <c r="F155" s="4">
        <v>0.69027777777777777</v>
      </c>
      <c r="G155" s="5">
        <f t="shared" si="4"/>
        <v>6.6166666666666671</v>
      </c>
      <c r="H155" s="8">
        <f t="shared" si="5"/>
        <v>0.97916666666666674</v>
      </c>
    </row>
    <row r="156" spans="1:8" x14ac:dyDescent="0.25">
      <c r="A156">
        <v>23</v>
      </c>
      <c r="B156" s="2">
        <v>44124</v>
      </c>
      <c r="C156" s="4">
        <v>0.33958333333333335</v>
      </c>
      <c r="D156" s="4">
        <v>0.51458333333333328</v>
      </c>
      <c r="E156" s="4">
        <v>0.5493055555555556</v>
      </c>
      <c r="F156" s="4">
        <v>0.68541666666666667</v>
      </c>
      <c r="G156" s="5">
        <f t="shared" si="4"/>
        <v>7.4666666666666641</v>
      </c>
      <c r="H156" s="8">
        <f t="shared" si="5"/>
        <v>1.0069444444444444</v>
      </c>
    </row>
    <row r="157" spans="1:8" x14ac:dyDescent="0.25">
      <c r="A157">
        <v>32</v>
      </c>
      <c r="B157" s="2">
        <v>44125</v>
      </c>
      <c r="C157" s="4">
        <v>0.32500000000000001</v>
      </c>
      <c r="D157" s="4">
        <v>0.50694444444444442</v>
      </c>
      <c r="E157" s="4">
        <v>0.55763888888888891</v>
      </c>
      <c r="F157" s="4">
        <v>0.68958333333333333</v>
      </c>
      <c r="G157" s="5">
        <f t="shared" si="4"/>
        <v>7.5333333333333314</v>
      </c>
      <c r="H157" s="8">
        <f t="shared" si="5"/>
        <v>1.0131944444444443</v>
      </c>
    </row>
    <row r="158" spans="1:8" x14ac:dyDescent="0.25">
      <c r="A158">
        <v>69</v>
      </c>
      <c r="B158" s="2">
        <v>44123</v>
      </c>
      <c r="C158" s="4">
        <v>0.34166666666666662</v>
      </c>
      <c r="D158" s="4">
        <v>0.50555555555555554</v>
      </c>
      <c r="E158" s="4">
        <v>0.54027777777777775</v>
      </c>
      <c r="F158" s="4">
        <v>0.69027777777777777</v>
      </c>
      <c r="G158" s="5">
        <f t="shared" si="4"/>
        <v>7.533333333333335</v>
      </c>
      <c r="H158" s="8">
        <f t="shared" si="5"/>
        <v>1.3888888888888951E-2</v>
      </c>
    </row>
    <row r="159" spans="1:8" x14ac:dyDescent="0.25">
      <c r="A159">
        <v>62</v>
      </c>
      <c r="B159" s="2">
        <v>44125</v>
      </c>
      <c r="C159" s="4">
        <v>0.32708333333333334</v>
      </c>
      <c r="D159" s="4">
        <v>0.51180555555555551</v>
      </c>
      <c r="E159" s="4">
        <v>0.55347222222222225</v>
      </c>
      <c r="F159" s="4">
        <v>0.68888888888888899</v>
      </c>
      <c r="G159" s="5">
        <f t="shared" si="4"/>
        <v>7.6833333333333336</v>
      </c>
      <c r="H159" s="8">
        <f t="shared" si="5"/>
        <v>1.0152777777777777</v>
      </c>
    </row>
    <row r="160" spans="1:8" x14ac:dyDescent="0.25">
      <c r="A160">
        <v>87</v>
      </c>
      <c r="B160" s="2">
        <v>44123</v>
      </c>
      <c r="C160" s="4">
        <v>0.32430555555555557</v>
      </c>
      <c r="D160" s="4">
        <v>0.50624999999999998</v>
      </c>
      <c r="E160" s="4">
        <v>0.56041666666666667</v>
      </c>
      <c r="F160" s="4">
        <v>0.68541666666666667</v>
      </c>
      <c r="G160" s="5">
        <f t="shared" si="4"/>
        <v>7.3666666666666654</v>
      </c>
      <c r="H160" s="8">
        <f t="shared" si="5"/>
        <v>1.0111111111111111</v>
      </c>
    </row>
    <row r="161" spans="1:8" x14ac:dyDescent="0.25">
      <c r="A161">
        <v>16</v>
      </c>
      <c r="B161" s="2">
        <v>44124</v>
      </c>
      <c r="C161" s="4">
        <v>0.31527777777777777</v>
      </c>
      <c r="D161" s="4">
        <v>0.50763888888888886</v>
      </c>
      <c r="E161" s="4">
        <v>0.54375000000000007</v>
      </c>
      <c r="F161" s="4">
        <v>0.70000000000000007</v>
      </c>
      <c r="G161" s="5">
        <f t="shared" si="4"/>
        <v>8.3666666666666671</v>
      </c>
      <c r="H161" s="8">
        <f t="shared" si="5"/>
        <v>1.0368055555555555</v>
      </c>
    </row>
    <row r="162" spans="1:8" x14ac:dyDescent="0.25">
      <c r="A162">
        <v>37</v>
      </c>
      <c r="B162" s="2">
        <v>44124</v>
      </c>
      <c r="C162" s="4">
        <v>0.32361111111111113</v>
      </c>
      <c r="D162" s="4">
        <v>0.49791666666666662</v>
      </c>
      <c r="E162" s="4">
        <v>0.54305555555555551</v>
      </c>
      <c r="F162" s="4">
        <v>0.68958333333333333</v>
      </c>
      <c r="G162" s="5">
        <f t="shared" si="4"/>
        <v>7.6999999999999993</v>
      </c>
      <c r="H162" s="8">
        <f t="shared" si="5"/>
        <v>1.0291666666666668</v>
      </c>
    </row>
    <row r="163" spans="1:8" x14ac:dyDescent="0.25">
      <c r="A163">
        <v>78</v>
      </c>
      <c r="B163" s="2">
        <v>44126</v>
      </c>
      <c r="C163" s="4">
        <v>0.33680555555555558</v>
      </c>
      <c r="D163" s="4">
        <v>0.5180555555555556</v>
      </c>
      <c r="E163" s="4">
        <v>0.56597222222222221</v>
      </c>
      <c r="F163" s="4">
        <v>0.69444444444444453</v>
      </c>
      <c r="G163" s="5">
        <f t="shared" si="4"/>
        <v>7.4333333333333362</v>
      </c>
      <c r="H163" s="8">
        <f t="shared" si="5"/>
        <v>0.99305555555555558</v>
      </c>
    </row>
    <row r="164" spans="1:8" x14ac:dyDescent="0.25">
      <c r="A164">
        <v>75</v>
      </c>
      <c r="B164" s="2">
        <v>44126</v>
      </c>
      <c r="C164" s="4">
        <v>0.36458333333333331</v>
      </c>
      <c r="D164" s="4">
        <v>0.51666666666666672</v>
      </c>
      <c r="E164" s="4">
        <v>0.56666666666666665</v>
      </c>
      <c r="F164" s="4">
        <v>0.7006944444444444</v>
      </c>
      <c r="G164" s="5">
        <f t="shared" si="4"/>
        <v>6.8666666666666671</v>
      </c>
      <c r="H164" s="8">
        <f t="shared" si="5"/>
        <v>1.9645833333333333</v>
      </c>
    </row>
    <row r="165" spans="1:8" x14ac:dyDescent="0.25">
      <c r="A165">
        <v>45</v>
      </c>
      <c r="B165" s="2">
        <v>44125</v>
      </c>
      <c r="C165" s="4">
        <v>0.31458333333333333</v>
      </c>
      <c r="D165" s="4">
        <v>0.50763888888888886</v>
      </c>
      <c r="E165" s="4">
        <v>0.54375000000000007</v>
      </c>
      <c r="F165" s="4">
        <v>0.70277777777777783</v>
      </c>
      <c r="G165" s="5">
        <f t="shared" si="4"/>
        <v>8.4499999999999993</v>
      </c>
      <c r="H165" s="8">
        <f t="shared" si="5"/>
        <v>1.0374999999999999</v>
      </c>
    </row>
    <row r="166" spans="1:8" x14ac:dyDescent="0.25">
      <c r="A166">
        <v>92</v>
      </c>
      <c r="B166" s="2">
        <v>44125</v>
      </c>
      <c r="C166" s="4">
        <v>0.34027777777777773</v>
      </c>
      <c r="D166" s="4">
        <v>0.51597222222222217</v>
      </c>
      <c r="E166" s="4">
        <v>0.55208333333333337</v>
      </c>
      <c r="F166" s="4">
        <v>0.70208333333333339</v>
      </c>
      <c r="G166" s="5">
        <f t="shared" si="4"/>
        <v>7.8166666666666673</v>
      </c>
      <c r="H166" s="8">
        <f t="shared" si="5"/>
        <v>1.0034722222222223</v>
      </c>
    </row>
    <row r="167" spans="1:8" x14ac:dyDescent="0.25">
      <c r="A167">
        <v>62</v>
      </c>
      <c r="B167" s="2">
        <v>44126</v>
      </c>
      <c r="C167" s="4">
        <v>0.35069444444444442</v>
      </c>
      <c r="D167" s="4">
        <v>0.49722222222222223</v>
      </c>
      <c r="E167" s="4">
        <v>0.54513888888888895</v>
      </c>
      <c r="F167" s="4">
        <v>0.69513888888888886</v>
      </c>
      <c r="G167" s="5">
        <f t="shared" si="4"/>
        <v>7.1166666666666654</v>
      </c>
      <c r="H167" s="8">
        <f t="shared" si="5"/>
        <v>1</v>
      </c>
    </row>
    <row r="168" spans="1:8" x14ac:dyDescent="0.25">
      <c r="A168">
        <v>67</v>
      </c>
      <c r="B168" s="2">
        <v>44125</v>
      </c>
      <c r="C168" s="4">
        <v>0.35902777777777778</v>
      </c>
      <c r="D168" s="4">
        <v>0.50208333333333333</v>
      </c>
      <c r="E168" s="4">
        <v>0.57222222222222219</v>
      </c>
      <c r="F168" s="4">
        <v>0.69861111111111107</v>
      </c>
      <c r="G168" s="5">
        <f t="shared" si="4"/>
        <v>6.4666666666666668</v>
      </c>
      <c r="H168" s="8">
        <f t="shared" si="5"/>
        <v>1.9645833333333333</v>
      </c>
    </row>
    <row r="169" spans="1:8" x14ac:dyDescent="0.25">
      <c r="A169">
        <v>59</v>
      </c>
      <c r="B169" s="2">
        <v>44126</v>
      </c>
      <c r="C169" s="4">
        <v>0.3125</v>
      </c>
      <c r="D169" s="4">
        <v>0.4993055555555555</v>
      </c>
      <c r="E169" s="4">
        <v>0.57916666666666672</v>
      </c>
      <c r="F169" s="4">
        <v>0.69861111111111107</v>
      </c>
      <c r="G169" s="5">
        <f t="shared" si="4"/>
        <v>7.349999999999997</v>
      </c>
      <c r="H169" s="8">
        <f t="shared" si="5"/>
        <v>1.0041666666666667</v>
      </c>
    </row>
    <row r="170" spans="1:8" x14ac:dyDescent="0.25">
      <c r="A170">
        <v>8</v>
      </c>
      <c r="B170" s="2">
        <v>44124</v>
      </c>
      <c r="C170" s="4">
        <v>0.34097222222222223</v>
      </c>
      <c r="D170" s="4">
        <v>0.5</v>
      </c>
      <c r="E170" s="4">
        <v>0.5756944444444444</v>
      </c>
      <c r="F170" s="4">
        <v>0.69166666666666676</v>
      </c>
      <c r="G170" s="5">
        <f t="shared" si="4"/>
        <v>6.6000000000000032</v>
      </c>
      <c r="H170" s="8">
        <f t="shared" si="5"/>
        <v>0.97916666666666674</v>
      </c>
    </row>
    <row r="171" spans="1:8" x14ac:dyDescent="0.25">
      <c r="A171">
        <v>14</v>
      </c>
      <c r="B171" s="2">
        <v>44126</v>
      </c>
      <c r="C171" s="4">
        <v>0.38472222222222219</v>
      </c>
      <c r="D171" s="4">
        <v>0.50486111111111109</v>
      </c>
      <c r="E171" s="4">
        <v>0.56180555555555556</v>
      </c>
      <c r="F171" s="4">
        <v>0.70416666666666661</v>
      </c>
      <c r="G171" s="5">
        <f t="shared" si="4"/>
        <v>6.2999999999999989</v>
      </c>
      <c r="H171" s="8">
        <f t="shared" si="5"/>
        <v>1.9493055555555556</v>
      </c>
    </row>
    <row r="172" spans="1:8" x14ac:dyDescent="0.25">
      <c r="A172">
        <v>73</v>
      </c>
      <c r="B172" s="2">
        <v>44125</v>
      </c>
      <c r="C172" s="4">
        <v>0.36874999999999997</v>
      </c>
      <c r="D172" s="4">
        <v>0.49861111111111112</v>
      </c>
      <c r="E172" s="4">
        <v>0.5541666666666667</v>
      </c>
      <c r="F172" s="4">
        <v>0.68472222222222223</v>
      </c>
      <c r="G172" s="5">
        <f t="shared" si="4"/>
        <v>6.25</v>
      </c>
      <c r="H172" s="8">
        <f t="shared" si="5"/>
        <v>1.9729166666666667</v>
      </c>
    </row>
    <row r="173" spans="1:8" x14ac:dyDescent="0.25">
      <c r="A173">
        <v>21</v>
      </c>
      <c r="B173" s="2">
        <v>44124</v>
      </c>
      <c r="C173" s="4">
        <v>0.32569444444444445</v>
      </c>
      <c r="D173" s="4">
        <v>0.52013888888888882</v>
      </c>
      <c r="E173" s="4">
        <v>0.56944444444444442</v>
      </c>
      <c r="F173" s="4">
        <v>0.69791666666666663</v>
      </c>
      <c r="G173" s="5">
        <f t="shared" si="4"/>
        <v>7.7499999999999973</v>
      </c>
      <c r="H173" s="8">
        <f t="shared" si="5"/>
        <v>1.0006944444444446</v>
      </c>
    </row>
    <row r="174" spans="1:8" x14ac:dyDescent="0.25">
      <c r="A174">
        <v>44</v>
      </c>
      <c r="B174" s="2">
        <v>44123</v>
      </c>
      <c r="C174" s="4">
        <v>0.32291666666666669</v>
      </c>
      <c r="D174" s="4">
        <v>0.50624999999999998</v>
      </c>
      <c r="E174" s="4">
        <v>0.55138888888888882</v>
      </c>
      <c r="F174" s="4">
        <v>0.70277777777777783</v>
      </c>
      <c r="G174" s="5">
        <f t="shared" si="4"/>
        <v>8.033333333333335</v>
      </c>
      <c r="H174" s="8">
        <f t="shared" si="5"/>
        <v>1.0215277777777778</v>
      </c>
    </row>
    <row r="175" spans="1:8" x14ac:dyDescent="0.25">
      <c r="A175">
        <v>50</v>
      </c>
      <c r="B175" s="2">
        <v>44123</v>
      </c>
      <c r="C175" s="4">
        <v>0.3666666666666667</v>
      </c>
      <c r="D175" s="4">
        <v>0.50277777777777777</v>
      </c>
      <c r="E175" s="4">
        <v>0.57222222222222219</v>
      </c>
      <c r="F175" s="4">
        <v>0.68472222222222223</v>
      </c>
      <c r="G175" s="5">
        <f t="shared" si="4"/>
        <v>5.9666666666666668</v>
      </c>
      <c r="H175" s="8">
        <f t="shared" si="5"/>
        <v>1.9569444444444444</v>
      </c>
    </row>
    <row r="176" spans="1:8" x14ac:dyDescent="0.25">
      <c r="A176">
        <v>78</v>
      </c>
      <c r="B176" s="2">
        <v>44123</v>
      </c>
      <c r="C176" s="4">
        <v>0.31388888888888888</v>
      </c>
      <c r="D176" s="4">
        <v>0.50416666666666665</v>
      </c>
      <c r="E176" s="4">
        <v>0.55694444444444446</v>
      </c>
      <c r="F176" s="4">
        <v>0.68611111111111101</v>
      </c>
      <c r="G176" s="5">
        <f t="shared" si="4"/>
        <v>7.6666666666666634</v>
      </c>
      <c r="H176" s="8">
        <f t="shared" si="5"/>
        <v>1.0249999999999999</v>
      </c>
    </row>
    <row r="177" spans="1:8" x14ac:dyDescent="0.25">
      <c r="A177">
        <v>43</v>
      </c>
      <c r="B177" s="2">
        <v>44123</v>
      </c>
      <c r="C177" s="4">
        <v>0.35069444444444442</v>
      </c>
      <c r="D177" s="4">
        <v>0.50763888888888886</v>
      </c>
      <c r="E177" s="4">
        <v>0.56874999999999998</v>
      </c>
      <c r="F177" s="4">
        <v>0.70208333333333339</v>
      </c>
      <c r="G177" s="5">
        <f t="shared" si="4"/>
        <v>6.9666666666666686</v>
      </c>
      <c r="H177" s="8">
        <f t="shared" si="5"/>
        <v>0.97638888888888897</v>
      </c>
    </row>
    <row r="178" spans="1:8" x14ac:dyDescent="0.25">
      <c r="A178">
        <v>29</v>
      </c>
      <c r="B178" s="2">
        <v>44124</v>
      </c>
      <c r="C178" s="4">
        <v>0.34097222222222223</v>
      </c>
      <c r="D178" s="4">
        <v>0.51041666666666663</v>
      </c>
      <c r="E178" s="4">
        <v>0.54999999999999993</v>
      </c>
      <c r="F178" s="4">
        <v>0.69374999999999998</v>
      </c>
      <c r="G178" s="5">
        <f t="shared" si="4"/>
        <v>7.5166666666666666</v>
      </c>
      <c r="H178" s="8">
        <f t="shared" si="5"/>
        <v>1.0048611111111112</v>
      </c>
    </row>
    <row r="179" spans="1:8" x14ac:dyDescent="0.25">
      <c r="A179">
        <v>99</v>
      </c>
      <c r="B179" s="2">
        <v>44123</v>
      </c>
      <c r="C179" s="4">
        <v>0.3840277777777778</v>
      </c>
      <c r="D179" s="4">
        <v>0.50763888888888886</v>
      </c>
      <c r="E179" s="4">
        <v>0.57291666666666663</v>
      </c>
      <c r="F179" s="4">
        <v>0.68819444444444444</v>
      </c>
      <c r="G179" s="5">
        <f t="shared" si="4"/>
        <v>5.7333333333333325</v>
      </c>
      <c r="H179" s="8">
        <f t="shared" si="5"/>
        <v>1.9388888888888889</v>
      </c>
    </row>
    <row r="180" spans="1:8" x14ac:dyDescent="0.25">
      <c r="A180">
        <v>1</v>
      </c>
      <c r="B180" s="2">
        <v>44126</v>
      </c>
      <c r="C180" s="4">
        <v>0.33194444444444443</v>
      </c>
      <c r="D180" s="4">
        <v>0.5083333333333333</v>
      </c>
      <c r="E180" s="4">
        <v>0.56458333333333333</v>
      </c>
      <c r="F180" s="4">
        <v>0.69930555555555562</v>
      </c>
      <c r="G180" s="5">
        <f t="shared" si="4"/>
        <v>7.4666666666666677</v>
      </c>
      <c r="H180" s="8">
        <f t="shared" si="5"/>
        <v>0.99930555555555556</v>
      </c>
    </row>
    <row r="181" spans="1:8" x14ac:dyDescent="0.25">
      <c r="A181">
        <v>13</v>
      </c>
      <c r="B181" s="2">
        <v>44124</v>
      </c>
      <c r="C181" s="4">
        <v>0.31944444444444448</v>
      </c>
      <c r="D181" s="4">
        <v>0.50277777777777777</v>
      </c>
      <c r="E181" s="4">
        <v>0.57638888888888895</v>
      </c>
      <c r="F181" s="4">
        <v>0.69166666666666676</v>
      </c>
      <c r="G181" s="5">
        <f t="shared" si="4"/>
        <v>7.1666666666666661</v>
      </c>
      <c r="H181" s="8">
        <f t="shared" si="5"/>
        <v>0.99999999999999989</v>
      </c>
    </row>
    <row r="182" spans="1:8" x14ac:dyDescent="0.25">
      <c r="A182">
        <v>99</v>
      </c>
      <c r="B182" s="2">
        <v>44125</v>
      </c>
      <c r="C182" s="4">
        <v>0.31527777777777777</v>
      </c>
      <c r="D182" s="4">
        <v>0.51388888888888895</v>
      </c>
      <c r="E182" s="4">
        <v>0.55694444444444446</v>
      </c>
      <c r="F182" s="4">
        <v>0.69444444444444453</v>
      </c>
      <c r="G182" s="5">
        <f t="shared" si="4"/>
        <v>8.06666666666667</v>
      </c>
      <c r="H182" s="8">
        <f t="shared" si="5"/>
        <v>1.023611111111111</v>
      </c>
    </row>
    <row r="183" spans="1:8" x14ac:dyDescent="0.25">
      <c r="A183">
        <v>40</v>
      </c>
      <c r="B183" s="2">
        <v>44124</v>
      </c>
      <c r="C183" s="4">
        <v>0.34027777777777773</v>
      </c>
      <c r="D183" s="4">
        <v>0.50694444444444442</v>
      </c>
      <c r="E183" s="4">
        <v>0.54513888888888895</v>
      </c>
      <c r="F183" s="4">
        <v>0.69930555555555562</v>
      </c>
      <c r="G183" s="5">
        <f t="shared" si="4"/>
        <v>7.7</v>
      </c>
      <c r="H183" s="8">
        <f t="shared" si="5"/>
        <v>1.0104166666666665</v>
      </c>
    </row>
    <row r="184" spans="1:8" x14ac:dyDescent="0.25">
      <c r="A184">
        <v>50</v>
      </c>
      <c r="B184" s="2">
        <v>44125</v>
      </c>
      <c r="C184" s="4">
        <v>0.35000000000000003</v>
      </c>
      <c r="D184" s="4">
        <v>0.50486111111111109</v>
      </c>
      <c r="E184" s="4">
        <v>0.56041666666666667</v>
      </c>
      <c r="F184" s="4">
        <v>0.70208333333333339</v>
      </c>
      <c r="G184" s="5">
        <f t="shared" si="4"/>
        <v>7.1166666666666671</v>
      </c>
      <c r="H184" s="8">
        <f t="shared" si="5"/>
        <v>0.98541666666666661</v>
      </c>
    </row>
    <row r="185" spans="1:8" x14ac:dyDescent="0.25">
      <c r="A185">
        <v>15</v>
      </c>
      <c r="B185" s="2">
        <v>44124</v>
      </c>
      <c r="C185" s="4">
        <v>0.36874999999999997</v>
      </c>
      <c r="D185" s="4">
        <v>0.50763888888888886</v>
      </c>
      <c r="E185" s="4">
        <v>0.56180555555555556</v>
      </c>
      <c r="F185" s="4">
        <v>0.70277777777777783</v>
      </c>
      <c r="G185" s="5">
        <f t="shared" si="4"/>
        <v>6.7166666666666686</v>
      </c>
      <c r="H185" s="8">
        <f t="shared" si="5"/>
        <v>1.9652777777777777</v>
      </c>
    </row>
    <row r="186" spans="1:8" x14ac:dyDescent="0.25">
      <c r="A186">
        <v>89</v>
      </c>
      <c r="B186" s="2">
        <v>44125</v>
      </c>
      <c r="C186" s="4">
        <v>0.36458333333333331</v>
      </c>
      <c r="D186" s="4">
        <v>0.5180555555555556</v>
      </c>
      <c r="E186" s="4">
        <v>0.54652777777777783</v>
      </c>
      <c r="F186" s="4">
        <v>0.68819444444444444</v>
      </c>
      <c r="G186" s="5">
        <f t="shared" si="4"/>
        <v>7.0833333333333339</v>
      </c>
      <c r="H186" s="8">
        <f t="shared" si="5"/>
        <v>1.9847222222222221</v>
      </c>
    </row>
    <row r="187" spans="1:8" x14ac:dyDescent="0.25">
      <c r="A187">
        <v>37</v>
      </c>
      <c r="B187" s="2">
        <v>44126</v>
      </c>
      <c r="C187" s="4">
        <v>0.31388888888888888</v>
      </c>
      <c r="D187" s="4">
        <v>0.4993055555555555</v>
      </c>
      <c r="E187" s="4">
        <v>0.55972222222222223</v>
      </c>
      <c r="F187" s="4">
        <v>0.69374999999999998</v>
      </c>
      <c r="G187" s="5">
        <f t="shared" si="4"/>
        <v>7.6666666666666652</v>
      </c>
      <c r="H187" s="8">
        <f t="shared" si="5"/>
        <v>1.0222222222222221</v>
      </c>
    </row>
    <row r="188" spans="1:8" x14ac:dyDescent="0.25">
      <c r="A188">
        <v>100</v>
      </c>
      <c r="B188" s="2">
        <v>44125</v>
      </c>
      <c r="C188" s="4">
        <v>0.36180555555555555</v>
      </c>
      <c r="D188" s="4">
        <v>0.52013888888888882</v>
      </c>
      <c r="E188" s="4">
        <v>0.5708333333333333</v>
      </c>
      <c r="F188" s="4">
        <v>0.69791666666666663</v>
      </c>
      <c r="G188" s="5">
        <f t="shared" si="4"/>
        <v>6.8499999999999979</v>
      </c>
      <c r="H188" s="8">
        <f t="shared" si="5"/>
        <v>1.9631944444444445</v>
      </c>
    </row>
    <row r="189" spans="1:8" x14ac:dyDescent="0.25">
      <c r="A189">
        <v>61</v>
      </c>
      <c r="B189" s="2">
        <v>44124</v>
      </c>
      <c r="C189" s="4">
        <v>0.33333333333333331</v>
      </c>
      <c r="D189" s="4">
        <v>0.50694444444444442</v>
      </c>
      <c r="E189" s="4">
        <v>0.56597222222222221</v>
      </c>
      <c r="F189" s="4">
        <v>0.69027777777777777</v>
      </c>
      <c r="G189" s="5">
        <f t="shared" si="4"/>
        <v>7.1499999999999995</v>
      </c>
      <c r="H189" s="8">
        <f t="shared" si="5"/>
        <v>0.99652777777777779</v>
      </c>
    </row>
    <row r="190" spans="1:8" x14ac:dyDescent="0.25">
      <c r="A190">
        <v>75</v>
      </c>
      <c r="B190" s="2">
        <v>44125</v>
      </c>
      <c r="C190" s="4">
        <v>0.36319444444444443</v>
      </c>
      <c r="D190" s="4">
        <v>0.50486111111111109</v>
      </c>
      <c r="E190" s="4">
        <v>0.55625000000000002</v>
      </c>
      <c r="F190" s="4">
        <v>0.6958333333333333</v>
      </c>
      <c r="G190" s="5">
        <f t="shared" si="4"/>
        <v>6.7499999999999982</v>
      </c>
      <c r="H190" s="8">
        <f t="shared" si="5"/>
        <v>1.9763888888888888</v>
      </c>
    </row>
    <row r="191" spans="1:8" x14ac:dyDescent="0.25">
      <c r="A191">
        <v>73</v>
      </c>
      <c r="B191" s="2">
        <v>44125</v>
      </c>
      <c r="C191" s="4">
        <v>0.31875000000000003</v>
      </c>
      <c r="D191" s="4">
        <v>0.51527777777777783</v>
      </c>
      <c r="E191" s="4">
        <v>0.56666666666666665</v>
      </c>
      <c r="F191" s="4">
        <v>0.70347222222222217</v>
      </c>
      <c r="G191" s="5">
        <f t="shared" si="4"/>
        <v>7.9999999999999991</v>
      </c>
      <c r="H191" s="8">
        <f t="shared" si="5"/>
        <v>1.0104166666666665</v>
      </c>
    </row>
    <row r="192" spans="1:8" x14ac:dyDescent="0.25">
      <c r="A192">
        <v>1</v>
      </c>
      <c r="B192" s="2">
        <v>44125</v>
      </c>
      <c r="C192" s="4">
        <v>0.35833333333333334</v>
      </c>
      <c r="D192" s="4">
        <v>0.50347222222222221</v>
      </c>
      <c r="E192" s="4">
        <v>0.54375000000000007</v>
      </c>
      <c r="F192" s="4">
        <v>0.69513888888888886</v>
      </c>
      <c r="G192" s="5">
        <f t="shared" si="4"/>
        <v>7.1166666666666636</v>
      </c>
      <c r="H192" s="8">
        <f t="shared" si="5"/>
        <v>1.9937499999999999</v>
      </c>
    </row>
    <row r="193" spans="1:8" x14ac:dyDescent="0.25">
      <c r="A193">
        <v>66</v>
      </c>
      <c r="B193" s="2">
        <v>44123</v>
      </c>
      <c r="C193" s="4">
        <v>0.38194444444444442</v>
      </c>
      <c r="D193" s="4">
        <v>0.50902777777777775</v>
      </c>
      <c r="E193" s="4">
        <v>0.55277777777777781</v>
      </c>
      <c r="F193" s="4">
        <v>0.6875</v>
      </c>
      <c r="G193" s="5">
        <f t="shared" si="4"/>
        <v>6.2833333333333323</v>
      </c>
      <c r="H193" s="8">
        <f t="shared" si="5"/>
        <v>1.9611111111111112</v>
      </c>
    </row>
    <row r="194" spans="1:8" x14ac:dyDescent="0.25">
      <c r="A194">
        <v>3</v>
      </c>
      <c r="B194" s="2">
        <v>44126</v>
      </c>
      <c r="C194" s="4">
        <v>0.34652777777777777</v>
      </c>
      <c r="D194" s="4">
        <v>0.51111111111111118</v>
      </c>
      <c r="E194" s="4">
        <v>0.54027777777777775</v>
      </c>
      <c r="F194" s="4">
        <v>0.68958333333333333</v>
      </c>
      <c r="G194" s="5">
        <f t="shared" si="4"/>
        <v>7.5333333333333359</v>
      </c>
      <c r="H194" s="8">
        <f t="shared" si="5"/>
        <v>9.0277777777778012E-3</v>
      </c>
    </row>
    <row r="195" spans="1:8" x14ac:dyDescent="0.25">
      <c r="A195">
        <v>57</v>
      </c>
      <c r="B195" s="2">
        <v>44125</v>
      </c>
      <c r="C195" s="4">
        <v>0.37013888888888885</v>
      </c>
      <c r="D195" s="4">
        <v>0.52013888888888882</v>
      </c>
      <c r="E195" s="4">
        <v>0.56319444444444444</v>
      </c>
      <c r="F195" s="4">
        <v>0.70416666666666661</v>
      </c>
      <c r="G195" s="5">
        <f t="shared" si="4"/>
        <v>6.9833333333333307</v>
      </c>
      <c r="H195" s="8">
        <f t="shared" si="5"/>
        <v>1.9624999999999999</v>
      </c>
    </row>
    <row r="196" spans="1:8" x14ac:dyDescent="0.25">
      <c r="A196">
        <v>86</v>
      </c>
      <c r="B196" s="2">
        <v>44125</v>
      </c>
      <c r="C196" s="4">
        <v>0.35625000000000001</v>
      </c>
      <c r="D196" s="4">
        <v>0.50277777777777777</v>
      </c>
      <c r="E196" s="4">
        <v>0.55555555555555558</v>
      </c>
      <c r="F196" s="4">
        <v>0.69652777777777775</v>
      </c>
      <c r="G196" s="5">
        <f t="shared" si="4"/>
        <v>6.8999999999999986</v>
      </c>
      <c r="H196" s="8">
        <f t="shared" si="5"/>
        <v>1.9840277777777777</v>
      </c>
    </row>
    <row r="197" spans="1:8" x14ac:dyDescent="0.25">
      <c r="A197">
        <v>90</v>
      </c>
      <c r="B197" s="2">
        <v>44124</v>
      </c>
      <c r="C197" s="4">
        <v>0.3354166666666667</v>
      </c>
      <c r="D197" s="4">
        <v>0.50416666666666665</v>
      </c>
      <c r="E197" s="4">
        <v>0.54722222222222217</v>
      </c>
      <c r="F197" s="4">
        <v>0.69236111111111109</v>
      </c>
      <c r="G197" s="5">
        <f t="shared" si="4"/>
        <v>7.5333333333333332</v>
      </c>
      <c r="H197" s="8">
        <f t="shared" si="5"/>
        <v>1.0131944444444445</v>
      </c>
    </row>
    <row r="198" spans="1:8" x14ac:dyDescent="0.25">
      <c r="A198">
        <v>50</v>
      </c>
      <c r="B198" s="2">
        <v>44123</v>
      </c>
      <c r="C198" s="4">
        <v>0.3347222222222222</v>
      </c>
      <c r="D198" s="4">
        <v>0.50972222222222219</v>
      </c>
      <c r="E198" s="4">
        <v>0.53888888888888886</v>
      </c>
      <c r="F198" s="4">
        <v>0.69861111111111107</v>
      </c>
      <c r="G198" s="5">
        <f t="shared" si="4"/>
        <v>8.0333333333333314</v>
      </c>
      <c r="H198" s="8">
        <f t="shared" si="5"/>
        <v>2.2222222222222254E-2</v>
      </c>
    </row>
    <row r="199" spans="1:8" x14ac:dyDescent="0.25">
      <c r="A199">
        <v>94</v>
      </c>
      <c r="B199" s="2">
        <v>44123</v>
      </c>
      <c r="C199" s="4">
        <v>0.32083333333333336</v>
      </c>
      <c r="D199" s="4">
        <v>0.50694444444444442</v>
      </c>
      <c r="E199" s="4">
        <v>0.54027777777777775</v>
      </c>
      <c r="F199" s="4">
        <v>0.68958333333333333</v>
      </c>
      <c r="G199" s="5">
        <f t="shared" si="4"/>
        <v>8.0499999999999989</v>
      </c>
      <c r="H199" s="8">
        <f t="shared" si="5"/>
        <v>3.472222222222221E-2</v>
      </c>
    </row>
    <row r="200" spans="1:8" x14ac:dyDescent="0.25">
      <c r="A200">
        <v>77</v>
      </c>
      <c r="B200" s="2">
        <v>44125</v>
      </c>
      <c r="C200" s="4">
        <v>0.37847222222222227</v>
      </c>
      <c r="D200" s="4">
        <v>0.51250000000000007</v>
      </c>
      <c r="E200" s="4">
        <v>0.56666666666666665</v>
      </c>
      <c r="F200" s="4">
        <v>0.69236111111111109</v>
      </c>
      <c r="G200" s="5">
        <f t="shared" ref="G200:G263" si="6">((D200-C200)*24)+((F200-E200)*24)</f>
        <v>6.2333333333333343</v>
      </c>
      <c r="H200" s="8">
        <f t="shared" ref="H200:H263" si="7">MOD((TIME(8,30,0)-C200),1)+MOD((TIME(13,0,0)-E200),1)</f>
        <v>1.9506944444444443</v>
      </c>
    </row>
    <row r="201" spans="1:8" x14ac:dyDescent="0.25">
      <c r="A201">
        <v>85</v>
      </c>
      <c r="B201" s="2">
        <v>44125</v>
      </c>
      <c r="C201" s="4">
        <v>0.31736111111111115</v>
      </c>
      <c r="D201" s="4">
        <v>0.50624999999999998</v>
      </c>
      <c r="E201" s="4">
        <v>0.55277777777777781</v>
      </c>
      <c r="F201" s="4">
        <v>0.6958333333333333</v>
      </c>
      <c r="G201" s="5">
        <f t="shared" si="6"/>
        <v>7.9666666666666632</v>
      </c>
      <c r="H201" s="8">
        <f t="shared" si="7"/>
        <v>1.0256944444444445</v>
      </c>
    </row>
    <row r="202" spans="1:8" x14ac:dyDescent="0.25">
      <c r="A202">
        <v>81</v>
      </c>
      <c r="B202" s="2">
        <v>44124</v>
      </c>
      <c r="C202" s="4">
        <v>0.36388888888888887</v>
      </c>
      <c r="D202" s="4">
        <v>0.50208333333333333</v>
      </c>
      <c r="E202" s="4">
        <v>0.57777777777777783</v>
      </c>
      <c r="F202" s="4">
        <v>0.70416666666666661</v>
      </c>
      <c r="G202" s="5">
        <f t="shared" si="6"/>
        <v>6.3499999999999979</v>
      </c>
      <c r="H202" s="8">
        <f t="shared" si="7"/>
        <v>1.9541666666666666</v>
      </c>
    </row>
    <row r="203" spans="1:8" x14ac:dyDescent="0.25">
      <c r="A203">
        <v>18</v>
      </c>
      <c r="B203" s="2">
        <v>44124</v>
      </c>
      <c r="C203" s="4">
        <v>0.3527777777777778</v>
      </c>
      <c r="D203" s="4">
        <v>0.4993055555555555</v>
      </c>
      <c r="E203" s="4">
        <v>0.57361111111111118</v>
      </c>
      <c r="F203" s="4">
        <v>0.70486111111111116</v>
      </c>
      <c r="G203" s="5">
        <f t="shared" si="6"/>
        <v>6.6666666666666643</v>
      </c>
      <c r="H203" s="8">
        <f t="shared" si="7"/>
        <v>0.96944444444444433</v>
      </c>
    </row>
    <row r="204" spans="1:8" x14ac:dyDescent="0.25">
      <c r="A204">
        <v>35</v>
      </c>
      <c r="B204" s="2">
        <v>44126</v>
      </c>
      <c r="C204" s="4">
        <v>0.33819444444444446</v>
      </c>
      <c r="D204" s="4">
        <v>0.5</v>
      </c>
      <c r="E204" s="4">
        <v>0.55972222222222223</v>
      </c>
      <c r="F204" s="4">
        <v>0.70416666666666661</v>
      </c>
      <c r="G204" s="5">
        <f t="shared" si="6"/>
        <v>7.3499999999999979</v>
      </c>
      <c r="H204" s="8">
        <f t="shared" si="7"/>
        <v>0.99791666666666656</v>
      </c>
    </row>
    <row r="205" spans="1:8" x14ac:dyDescent="0.25">
      <c r="A205">
        <v>2</v>
      </c>
      <c r="B205" s="2">
        <v>44126</v>
      </c>
      <c r="C205" s="4">
        <v>0.36874999999999997</v>
      </c>
      <c r="D205" s="4">
        <v>0.51180555555555551</v>
      </c>
      <c r="E205" s="4">
        <v>0.56041666666666667</v>
      </c>
      <c r="F205" s="4">
        <v>0.6875</v>
      </c>
      <c r="G205" s="5">
        <f t="shared" si="6"/>
        <v>6.4833333333333325</v>
      </c>
      <c r="H205" s="8">
        <f t="shared" si="7"/>
        <v>1.9666666666666668</v>
      </c>
    </row>
    <row r="206" spans="1:8" x14ac:dyDescent="0.25">
      <c r="A206">
        <v>93</v>
      </c>
      <c r="B206" s="2">
        <v>44123</v>
      </c>
      <c r="C206" s="4">
        <v>0.32291666666666669</v>
      </c>
      <c r="D206" s="4">
        <v>0.4993055555555555</v>
      </c>
      <c r="E206" s="4">
        <v>0.55555555555555558</v>
      </c>
      <c r="F206" s="4">
        <v>0.68958333333333333</v>
      </c>
      <c r="G206" s="5">
        <f t="shared" si="6"/>
        <v>7.4499999999999975</v>
      </c>
      <c r="H206" s="8">
        <f t="shared" si="7"/>
        <v>1.0173611111111112</v>
      </c>
    </row>
    <row r="207" spans="1:8" x14ac:dyDescent="0.25">
      <c r="A207">
        <v>66</v>
      </c>
      <c r="B207" s="2">
        <v>44125</v>
      </c>
      <c r="C207" s="4">
        <v>0.3576388888888889</v>
      </c>
      <c r="D207" s="4">
        <v>0.50277777777777777</v>
      </c>
      <c r="E207" s="4">
        <v>0.57847222222222217</v>
      </c>
      <c r="F207" s="4">
        <v>0.70138888888888884</v>
      </c>
      <c r="G207" s="5">
        <f t="shared" si="6"/>
        <v>6.4333333333333336</v>
      </c>
      <c r="H207" s="8">
        <f t="shared" si="7"/>
        <v>1.9597222222222221</v>
      </c>
    </row>
    <row r="208" spans="1:8" x14ac:dyDescent="0.25">
      <c r="A208">
        <v>73</v>
      </c>
      <c r="B208" s="2">
        <v>44124</v>
      </c>
      <c r="C208" s="4">
        <v>0.3756944444444445</v>
      </c>
      <c r="D208" s="4">
        <v>0.51527777777777783</v>
      </c>
      <c r="E208" s="4">
        <v>0.56458333333333333</v>
      </c>
      <c r="F208" s="4">
        <v>0.6958333333333333</v>
      </c>
      <c r="G208" s="5">
        <f t="shared" si="6"/>
        <v>6.5</v>
      </c>
      <c r="H208" s="8">
        <f t="shared" si="7"/>
        <v>1.9555555555555555</v>
      </c>
    </row>
    <row r="209" spans="1:8" x14ac:dyDescent="0.25">
      <c r="A209">
        <v>81</v>
      </c>
      <c r="B209" s="2">
        <v>44124</v>
      </c>
      <c r="C209" s="4">
        <v>0.38680555555555557</v>
      </c>
      <c r="D209" s="4">
        <v>0.51527777777777783</v>
      </c>
      <c r="E209" s="4">
        <v>0.56319444444444444</v>
      </c>
      <c r="F209" s="4">
        <v>0.69097222222222221</v>
      </c>
      <c r="G209" s="5">
        <f t="shared" si="6"/>
        <v>6.15</v>
      </c>
      <c r="H209" s="8">
        <f t="shared" si="7"/>
        <v>1.9458333333333333</v>
      </c>
    </row>
    <row r="210" spans="1:8" x14ac:dyDescent="0.25">
      <c r="A210">
        <v>60</v>
      </c>
      <c r="B210" s="2">
        <v>44126</v>
      </c>
      <c r="C210" s="4">
        <v>0.33333333333333331</v>
      </c>
      <c r="D210" s="4">
        <v>0.5083333333333333</v>
      </c>
      <c r="E210" s="4">
        <v>0.54375000000000007</v>
      </c>
      <c r="F210" s="4">
        <v>0.7006944444444444</v>
      </c>
      <c r="G210" s="5">
        <f t="shared" si="6"/>
        <v>7.9666666666666632</v>
      </c>
      <c r="H210" s="8">
        <f t="shared" si="7"/>
        <v>1.0187499999999998</v>
      </c>
    </row>
    <row r="211" spans="1:8" x14ac:dyDescent="0.25">
      <c r="A211">
        <v>53</v>
      </c>
      <c r="B211" s="2">
        <v>44123</v>
      </c>
      <c r="C211" s="4">
        <v>0.35486111111111113</v>
      </c>
      <c r="D211" s="4">
        <v>0.51250000000000007</v>
      </c>
      <c r="E211" s="4">
        <v>0.56180555555555556</v>
      </c>
      <c r="F211" s="4">
        <v>0.69236111111111109</v>
      </c>
      <c r="G211" s="5">
        <f t="shared" si="6"/>
        <v>6.9166666666666679</v>
      </c>
      <c r="H211" s="8">
        <f t="shared" si="7"/>
        <v>1.9791666666666665</v>
      </c>
    </row>
    <row r="212" spans="1:8" x14ac:dyDescent="0.25">
      <c r="A212">
        <v>9</v>
      </c>
      <c r="B212" s="2">
        <v>44126</v>
      </c>
      <c r="C212" s="4">
        <v>0.3756944444444445</v>
      </c>
      <c r="D212" s="4">
        <v>0.5131944444444444</v>
      </c>
      <c r="E212" s="4">
        <v>0.56805555555555554</v>
      </c>
      <c r="F212" s="4">
        <v>0.70416666666666661</v>
      </c>
      <c r="G212" s="5">
        <f t="shared" si="6"/>
        <v>6.5666666666666629</v>
      </c>
      <c r="H212" s="8">
        <f t="shared" si="7"/>
        <v>1.9520833333333334</v>
      </c>
    </row>
    <row r="213" spans="1:8" x14ac:dyDescent="0.25">
      <c r="A213">
        <v>32</v>
      </c>
      <c r="B213" s="2">
        <v>44126</v>
      </c>
      <c r="C213" s="4">
        <v>0.35972222222222222</v>
      </c>
      <c r="D213" s="4">
        <v>0.50486111111111109</v>
      </c>
      <c r="E213" s="4">
        <v>0.54861111111111105</v>
      </c>
      <c r="F213" s="4">
        <v>0.69791666666666663</v>
      </c>
      <c r="G213" s="5">
        <f t="shared" si="6"/>
        <v>7.0666666666666664</v>
      </c>
      <c r="H213" s="8">
        <f t="shared" si="7"/>
        <v>1.9875</v>
      </c>
    </row>
    <row r="214" spans="1:8" x14ac:dyDescent="0.25">
      <c r="A214">
        <v>1</v>
      </c>
      <c r="B214" s="2">
        <v>44124</v>
      </c>
      <c r="C214" s="4">
        <v>0.36874999999999997</v>
      </c>
      <c r="D214" s="4">
        <v>0.4993055555555555</v>
      </c>
      <c r="E214" s="4">
        <v>0.56458333333333333</v>
      </c>
      <c r="F214" s="4">
        <v>0.7006944444444444</v>
      </c>
      <c r="G214" s="5">
        <f t="shared" si="6"/>
        <v>6.3999999999999986</v>
      </c>
      <c r="H214" s="8">
        <f t="shared" si="7"/>
        <v>1.9624999999999999</v>
      </c>
    </row>
    <row r="215" spans="1:8" x14ac:dyDescent="0.25">
      <c r="A215">
        <v>91</v>
      </c>
      <c r="B215" s="2">
        <v>44125</v>
      </c>
      <c r="C215" s="4">
        <v>0.35694444444444445</v>
      </c>
      <c r="D215" s="4">
        <v>0.50208333333333333</v>
      </c>
      <c r="E215" s="4">
        <v>0.54097222222222219</v>
      </c>
      <c r="F215" s="4">
        <v>0.69305555555555554</v>
      </c>
      <c r="G215" s="5">
        <f t="shared" si="6"/>
        <v>7.1333333333333329</v>
      </c>
      <c r="H215" s="8">
        <f t="shared" si="7"/>
        <v>0.99791666666666667</v>
      </c>
    </row>
    <row r="216" spans="1:8" x14ac:dyDescent="0.25">
      <c r="A216">
        <v>6</v>
      </c>
      <c r="B216" s="2">
        <v>44125</v>
      </c>
      <c r="C216" s="4">
        <v>0.3666666666666667</v>
      </c>
      <c r="D216" s="4">
        <v>0.50069444444444444</v>
      </c>
      <c r="E216" s="4">
        <v>0.56458333333333333</v>
      </c>
      <c r="F216" s="4">
        <v>0.68472222222222223</v>
      </c>
      <c r="G216" s="5">
        <f t="shared" si="6"/>
        <v>6.1</v>
      </c>
      <c r="H216" s="8">
        <f t="shared" si="7"/>
        <v>1.9645833333333333</v>
      </c>
    </row>
    <row r="217" spans="1:8" x14ac:dyDescent="0.25">
      <c r="A217">
        <v>45</v>
      </c>
      <c r="B217" s="2">
        <v>44125</v>
      </c>
      <c r="C217" s="4">
        <v>0.33402777777777781</v>
      </c>
      <c r="D217" s="4">
        <v>0.52013888888888882</v>
      </c>
      <c r="E217" s="4">
        <v>0.54236111111111118</v>
      </c>
      <c r="F217" s="4">
        <v>0.68680555555555556</v>
      </c>
      <c r="G217" s="5">
        <f t="shared" si="6"/>
        <v>7.9333333333333291</v>
      </c>
      <c r="H217" s="8">
        <f t="shared" si="7"/>
        <v>1.0194444444444444</v>
      </c>
    </row>
    <row r="218" spans="1:8" x14ac:dyDescent="0.25">
      <c r="A218">
        <v>61</v>
      </c>
      <c r="B218" s="2">
        <v>44123</v>
      </c>
      <c r="C218" s="4">
        <v>0.35069444444444442</v>
      </c>
      <c r="D218" s="4">
        <v>0.50972222222222219</v>
      </c>
      <c r="E218" s="4">
        <v>0.54861111111111105</v>
      </c>
      <c r="F218" s="4">
        <v>0.7006944444444444</v>
      </c>
      <c r="G218" s="5">
        <f t="shared" si="6"/>
        <v>7.4666666666666668</v>
      </c>
      <c r="H218" s="8">
        <f t="shared" si="7"/>
        <v>0.9965277777777779</v>
      </c>
    </row>
    <row r="219" spans="1:8" x14ac:dyDescent="0.25">
      <c r="A219">
        <v>23</v>
      </c>
      <c r="B219" s="2">
        <v>44126</v>
      </c>
      <c r="C219" s="4">
        <v>0.38680555555555557</v>
      </c>
      <c r="D219" s="4">
        <v>0.51666666666666672</v>
      </c>
      <c r="E219" s="4">
        <v>0.57638888888888895</v>
      </c>
      <c r="F219" s="4">
        <v>0.69791666666666663</v>
      </c>
      <c r="G219" s="5">
        <f t="shared" si="6"/>
        <v>6.0333333333333314</v>
      </c>
      <c r="H219" s="8">
        <f t="shared" si="7"/>
        <v>1.9326388888888888</v>
      </c>
    </row>
    <row r="220" spans="1:8" x14ac:dyDescent="0.25">
      <c r="A220">
        <v>23</v>
      </c>
      <c r="B220" s="2">
        <v>44124</v>
      </c>
      <c r="C220" s="4">
        <v>0.38125000000000003</v>
      </c>
      <c r="D220" s="4">
        <v>0.50277777777777777</v>
      </c>
      <c r="E220" s="4">
        <v>0.54791666666666672</v>
      </c>
      <c r="F220" s="4">
        <v>0.68680555555555556</v>
      </c>
      <c r="G220" s="5">
        <f t="shared" si="6"/>
        <v>6.2499999999999982</v>
      </c>
      <c r="H220" s="8">
        <f t="shared" si="7"/>
        <v>1.9666666666666666</v>
      </c>
    </row>
    <row r="221" spans="1:8" x14ac:dyDescent="0.25">
      <c r="A221">
        <v>21</v>
      </c>
      <c r="B221" s="2">
        <v>44125</v>
      </c>
      <c r="C221" s="4">
        <v>0.37777777777777777</v>
      </c>
      <c r="D221" s="4">
        <v>0.52013888888888882</v>
      </c>
      <c r="E221" s="4">
        <v>0.55972222222222223</v>
      </c>
      <c r="F221" s="4">
        <v>0.68541666666666667</v>
      </c>
      <c r="G221" s="5">
        <f t="shared" si="6"/>
        <v>6.4333333333333318</v>
      </c>
      <c r="H221" s="8">
        <f t="shared" si="7"/>
        <v>1.9583333333333335</v>
      </c>
    </row>
    <row r="222" spans="1:8" x14ac:dyDescent="0.25">
      <c r="A222">
        <v>7</v>
      </c>
      <c r="B222" s="2">
        <v>44126</v>
      </c>
      <c r="C222" s="4">
        <v>0.35625000000000001</v>
      </c>
      <c r="D222" s="4">
        <v>0.51250000000000007</v>
      </c>
      <c r="E222" s="4">
        <v>0.56041666666666667</v>
      </c>
      <c r="F222" s="4">
        <v>0.68819444444444444</v>
      </c>
      <c r="G222" s="5">
        <f t="shared" si="6"/>
        <v>6.8166666666666682</v>
      </c>
      <c r="H222" s="8">
        <f t="shared" si="7"/>
        <v>1.9791666666666665</v>
      </c>
    </row>
    <row r="223" spans="1:8" x14ac:dyDescent="0.25">
      <c r="A223">
        <v>4</v>
      </c>
      <c r="B223" s="2">
        <v>44124</v>
      </c>
      <c r="C223" s="4">
        <v>0.35416666666666669</v>
      </c>
      <c r="D223" s="4">
        <v>0.50763888888888886</v>
      </c>
      <c r="E223" s="4">
        <v>0.56527777777777777</v>
      </c>
      <c r="F223" s="4">
        <v>0.69027777777777777</v>
      </c>
      <c r="G223" s="5">
        <f t="shared" si="6"/>
        <v>6.6833333333333318</v>
      </c>
      <c r="H223" s="8">
        <f t="shared" si="7"/>
        <v>0.97638888888888886</v>
      </c>
    </row>
    <row r="224" spans="1:8" x14ac:dyDescent="0.25">
      <c r="A224">
        <v>89</v>
      </c>
      <c r="B224" s="2">
        <v>44125</v>
      </c>
      <c r="C224" s="4">
        <v>0.37777777777777777</v>
      </c>
      <c r="D224" s="4">
        <v>0.50486111111111109</v>
      </c>
      <c r="E224" s="4">
        <v>0.55486111111111114</v>
      </c>
      <c r="F224" s="4">
        <v>0.68472222222222223</v>
      </c>
      <c r="G224" s="5">
        <f t="shared" si="6"/>
        <v>6.1666666666666661</v>
      </c>
      <c r="H224" s="8">
        <f t="shared" si="7"/>
        <v>1.9631944444444445</v>
      </c>
    </row>
    <row r="225" spans="1:8" x14ac:dyDescent="0.25">
      <c r="A225">
        <v>55</v>
      </c>
      <c r="B225" s="2">
        <v>44124</v>
      </c>
      <c r="C225" s="4">
        <v>0.31666666666666665</v>
      </c>
      <c r="D225" s="4">
        <v>0.50416666666666665</v>
      </c>
      <c r="E225" s="4">
        <v>0.5708333333333333</v>
      </c>
      <c r="F225" s="4">
        <v>0.69097222222222221</v>
      </c>
      <c r="G225" s="5">
        <f t="shared" si="6"/>
        <v>7.3833333333333337</v>
      </c>
      <c r="H225" s="8">
        <f t="shared" si="7"/>
        <v>1.0083333333333333</v>
      </c>
    </row>
    <row r="226" spans="1:8" x14ac:dyDescent="0.25">
      <c r="A226">
        <v>19</v>
      </c>
      <c r="B226" s="2">
        <v>44126</v>
      </c>
      <c r="C226" s="4">
        <v>0.35416666666666669</v>
      </c>
      <c r="D226" s="4">
        <v>0.50486111111111109</v>
      </c>
      <c r="E226" s="4">
        <v>0.54166666666666663</v>
      </c>
      <c r="F226" s="4">
        <v>0.69374999999999998</v>
      </c>
      <c r="G226" s="5">
        <f t="shared" si="6"/>
        <v>7.2666666666666657</v>
      </c>
      <c r="H226" s="8">
        <f t="shared" si="7"/>
        <v>0</v>
      </c>
    </row>
    <row r="227" spans="1:8" x14ac:dyDescent="0.25">
      <c r="A227">
        <v>58</v>
      </c>
      <c r="B227" s="2">
        <v>44123</v>
      </c>
      <c r="C227" s="4">
        <v>0.38611111111111113</v>
      </c>
      <c r="D227" s="4">
        <v>0.50555555555555554</v>
      </c>
      <c r="E227" s="4">
        <v>0.55138888888888882</v>
      </c>
      <c r="F227" s="4">
        <v>0.69861111111111107</v>
      </c>
      <c r="G227" s="5">
        <f t="shared" si="6"/>
        <v>6.4</v>
      </c>
      <c r="H227" s="8">
        <f t="shared" si="7"/>
        <v>1.9583333333333335</v>
      </c>
    </row>
    <row r="228" spans="1:8" x14ac:dyDescent="0.25">
      <c r="A228">
        <v>63</v>
      </c>
      <c r="B228" s="2">
        <v>44125</v>
      </c>
      <c r="C228" s="4">
        <v>0.35416666666666669</v>
      </c>
      <c r="D228" s="4">
        <v>0.50902777777777775</v>
      </c>
      <c r="E228" s="4">
        <v>0.56805555555555554</v>
      </c>
      <c r="F228" s="4">
        <v>0.70277777777777783</v>
      </c>
      <c r="G228" s="5">
        <f t="shared" si="6"/>
        <v>6.9500000000000011</v>
      </c>
      <c r="H228" s="8">
        <f t="shared" si="7"/>
        <v>0.97361111111111109</v>
      </c>
    </row>
    <row r="229" spans="1:8" x14ac:dyDescent="0.25">
      <c r="A229">
        <v>7</v>
      </c>
      <c r="B229" s="2">
        <v>44126</v>
      </c>
      <c r="C229" s="4">
        <v>0.37986111111111115</v>
      </c>
      <c r="D229" s="4">
        <v>0.50416666666666665</v>
      </c>
      <c r="E229" s="4">
        <v>0.5493055555555556</v>
      </c>
      <c r="F229" s="4">
        <v>0.68611111111111101</v>
      </c>
      <c r="G229" s="5">
        <f t="shared" si="6"/>
        <v>6.2666666666666622</v>
      </c>
      <c r="H229" s="8">
        <f t="shared" si="7"/>
        <v>1.9666666666666666</v>
      </c>
    </row>
    <row r="230" spans="1:8" x14ac:dyDescent="0.25">
      <c r="A230">
        <v>74</v>
      </c>
      <c r="B230" s="2">
        <v>44123</v>
      </c>
      <c r="C230" s="4">
        <v>0.37708333333333338</v>
      </c>
      <c r="D230" s="4">
        <v>0.50624999999999998</v>
      </c>
      <c r="E230" s="4">
        <v>0.57291666666666663</v>
      </c>
      <c r="F230" s="4">
        <v>0.6958333333333333</v>
      </c>
      <c r="G230" s="5">
        <f t="shared" si="6"/>
        <v>6.0499999999999989</v>
      </c>
      <c r="H230" s="8">
        <f t="shared" si="7"/>
        <v>1.9458333333333333</v>
      </c>
    </row>
    <row r="231" spans="1:8" x14ac:dyDescent="0.25">
      <c r="A231">
        <v>19</v>
      </c>
      <c r="B231" s="2">
        <v>44123</v>
      </c>
      <c r="C231" s="4">
        <v>0.38263888888888892</v>
      </c>
      <c r="D231" s="4">
        <v>0.50208333333333333</v>
      </c>
      <c r="E231" s="4">
        <v>0.55277777777777781</v>
      </c>
      <c r="F231" s="4">
        <v>0.6958333333333333</v>
      </c>
      <c r="G231" s="5">
        <f t="shared" si="6"/>
        <v>6.2999999999999972</v>
      </c>
      <c r="H231" s="8">
        <f t="shared" si="7"/>
        <v>1.9604166666666667</v>
      </c>
    </row>
    <row r="232" spans="1:8" x14ac:dyDescent="0.25">
      <c r="A232">
        <v>72</v>
      </c>
      <c r="B232" s="2">
        <v>44123</v>
      </c>
      <c r="C232" s="4">
        <v>0.34027777777777773</v>
      </c>
      <c r="D232" s="4">
        <v>0.50069444444444444</v>
      </c>
      <c r="E232" s="4">
        <v>0.54097222222222219</v>
      </c>
      <c r="F232" s="4">
        <v>0.6958333333333333</v>
      </c>
      <c r="G232" s="5">
        <f t="shared" si="6"/>
        <v>7.5666666666666682</v>
      </c>
      <c r="H232" s="8">
        <f t="shared" si="7"/>
        <v>1.4583333333333393E-2</v>
      </c>
    </row>
    <row r="233" spans="1:8" x14ac:dyDescent="0.25">
      <c r="A233">
        <v>46</v>
      </c>
      <c r="B233" s="2">
        <v>44123</v>
      </c>
      <c r="C233" s="4">
        <v>0.3666666666666667</v>
      </c>
      <c r="D233" s="4">
        <v>0.4993055555555555</v>
      </c>
      <c r="E233" s="4">
        <v>0.55694444444444446</v>
      </c>
      <c r="F233" s="4">
        <v>0.68472222222222223</v>
      </c>
      <c r="G233" s="5">
        <f t="shared" si="6"/>
        <v>6.2499999999999982</v>
      </c>
      <c r="H233" s="8">
        <f t="shared" si="7"/>
        <v>1.9722222222222223</v>
      </c>
    </row>
    <row r="234" spans="1:8" x14ac:dyDescent="0.25">
      <c r="A234">
        <v>16</v>
      </c>
      <c r="B234" s="2">
        <v>44124</v>
      </c>
      <c r="C234" s="4">
        <v>0.34236111111111112</v>
      </c>
      <c r="D234" s="4">
        <v>0.49791666666666662</v>
      </c>
      <c r="E234" s="4">
        <v>0.55486111111111114</v>
      </c>
      <c r="F234" s="4">
        <v>0.69652777777777775</v>
      </c>
      <c r="G234" s="5">
        <f t="shared" si="6"/>
        <v>7.1333333333333311</v>
      </c>
      <c r="H234" s="8">
        <f t="shared" si="7"/>
        <v>0.99861111111111112</v>
      </c>
    </row>
    <row r="235" spans="1:8" x14ac:dyDescent="0.25">
      <c r="A235">
        <v>42</v>
      </c>
      <c r="B235" s="2">
        <v>44123</v>
      </c>
      <c r="C235" s="4">
        <v>0.31944444444444448</v>
      </c>
      <c r="D235" s="4">
        <v>0.51458333333333328</v>
      </c>
      <c r="E235" s="4">
        <v>0.57013888888888886</v>
      </c>
      <c r="F235" s="4">
        <v>0.69791666666666663</v>
      </c>
      <c r="G235" s="5">
        <f t="shared" si="6"/>
        <v>7.7499999999999982</v>
      </c>
      <c r="H235" s="8">
        <f t="shared" si="7"/>
        <v>1.0062500000000001</v>
      </c>
    </row>
    <row r="236" spans="1:8" x14ac:dyDescent="0.25">
      <c r="A236">
        <v>80</v>
      </c>
      <c r="B236" s="2">
        <v>44125</v>
      </c>
      <c r="C236" s="4">
        <v>0.36249999999999999</v>
      </c>
      <c r="D236" s="4">
        <v>0.50763888888888886</v>
      </c>
      <c r="E236" s="4">
        <v>0.54583333333333328</v>
      </c>
      <c r="F236" s="4">
        <v>0.69027777777777777</v>
      </c>
      <c r="G236" s="5">
        <f t="shared" si="6"/>
        <v>6.9500000000000011</v>
      </c>
      <c r="H236" s="8">
        <f t="shared" si="7"/>
        <v>1.9875</v>
      </c>
    </row>
    <row r="237" spans="1:8" x14ac:dyDescent="0.25">
      <c r="A237">
        <v>76</v>
      </c>
      <c r="B237" s="2">
        <v>44126</v>
      </c>
      <c r="C237" s="4">
        <v>0.33749999999999997</v>
      </c>
      <c r="D237" s="4">
        <v>0.50555555555555554</v>
      </c>
      <c r="E237" s="4">
        <v>0.57291666666666663</v>
      </c>
      <c r="F237" s="4">
        <v>0.69027777777777777</v>
      </c>
      <c r="G237" s="5">
        <f t="shared" si="6"/>
        <v>6.8500000000000005</v>
      </c>
      <c r="H237" s="8">
        <f t="shared" si="7"/>
        <v>0.98541666666666672</v>
      </c>
    </row>
    <row r="238" spans="1:8" x14ac:dyDescent="0.25">
      <c r="A238">
        <v>92</v>
      </c>
      <c r="B238" s="2">
        <v>44126</v>
      </c>
      <c r="C238" s="4">
        <v>0.3756944444444445</v>
      </c>
      <c r="D238" s="4">
        <v>0.50694444444444442</v>
      </c>
      <c r="E238" s="4">
        <v>0.54097222222222219</v>
      </c>
      <c r="F238" s="4">
        <v>0.68611111111111101</v>
      </c>
      <c r="G238" s="5">
        <f t="shared" si="6"/>
        <v>6.6333333333333293</v>
      </c>
      <c r="H238" s="8">
        <f t="shared" si="7"/>
        <v>0.97916666666666663</v>
      </c>
    </row>
    <row r="239" spans="1:8" x14ac:dyDescent="0.25">
      <c r="A239">
        <v>33</v>
      </c>
      <c r="B239" s="2">
        <v>44123</v>
      </c>
      <c r="C239" s="4">
        <v>0.36944444444444446</v>
      </c>
      <c r="D239" s="4">
        <v>0.49861111111111112</v>
      </c>
      <c r="E239" s="4">
        <v>0.55625000000000002</v>
      </c>
      <c r="F239" s="4">
        <v>0.70000000000000007</v>
      </c>
      <c r="G239" s="5">
        <f t="shared" si="6"/>
        <v>6.5500000000000007</v>
      </c>
      <c r="H239" s="8">
        <f t="shared" si="7"/>
        <v>1.9701388888888889</v>
      </c>
    </row>
    <row r="240" spans="1:8" x14ac:dyDescent="0.25">
      <c r="A240">
        <v>43</v>
      </c>
      <c r="B240" s="2">
        <v>44123</v>
      </c>
      <c r="C240" s="4">
        <v>0.3833333333333333</v>
      </c>
      <c r="D240" s="4">
        <v>0.49861111111111112</v>
      </c>
      <c r="E240" s="4">
        <v>0.57708333333333328</v>
      </c>
      <c r="F240" s="4">
        <v>0.69444444444444453</v>
      </c>
      <c r="G240" s="5">
        <f t="shared" si="6"/>
        <v>5.5833333333333375</v>
      </c>
      <c r="H240" s="8">
        <f t="shared" si="7"/>
        <v>1.9354166666666668</v>
      </c>
    </row>
    <row r="241" spans="1:8" x14ac:dyDescent="0.25">
      <c r="A241">
        <v>58</v>
      </c>
      <c r="B241" s="2">
        <v>44125</v>
      </c>
      <c r="C241" s="4">
        <v>0.33263888888888887</v>
      </c>
      <c r="D241" s="4">
        <v>0.51666666666666672</v>
      </c>
      <c r="E241" s="4">
        <v>0.55208333333333337</v>
      </c>
      <c r="F241" s="4">
        <v>0.69236111111111109</v>
      </c>
      <c r="G241" s="5">
        <f t="shared" si="6"/>
        <v>7.7833333333333332</v>
      </c>
      <c r="H241" s="8">
        <f t="shared" si="7"/>
        <v>1.0111111111111111</v>
      </c>
    </row>
    <row r="242" spans="1:8" x14ac:dyDescent="0.25">
      <c r="A242">
        <v>83</v>
      </c>
      <c r="B242" s="2">
        <v>44123</v>
      </c>
      <c r="C242" s="4">
        <v>0.36805555555555558</v>
      </c>
      <c r="D242" s="4">
        <v>0.51944444444444449</v>
      </c>
      <c r="E242" s="4">
        <v>0.56388888888888888</v>
      </c>
      <c r="F242" s="4">
        <v>0.7006944444444444</v>
      </c>
      <c r="G242" s="5">
        <f t="shared" si="6"/>
        <v>6.9166666666666661</v>
      </c>
      <c r="H242" s="8">
        <f t="shared" si="7"/>
        <v>1.963888888888889</v>
      </c>
    </row>
    <row r="243" spans="1:8" x14ac:dyDescent="0.25">
      <c r="A243">
        <v>39</v>
      </c>
      <c r="B243" s="2">
        <v>44125</v>
      </c>
      <c r="C243" s="4">
        <v>0.31597222222222221</v>
      </c>
      <c r="D243" s="4">
        <v>0.5131944444444444</v>
      </c>
      <c r="E243" s="4">
        <v>0.54652777777777783</v>
      </c>
      <c r="F243" s="4">
        <v>0.68819444444444444</v>
      </c>
      <c r="G243" s="5">
        <f t="shared" si="6"/>
        <v>8.1333333333333311</v>
      </c>
      <c r="H243" s="8">
        <f t="shared" si="7"/>
        <v>1.0333333333333332</v>
      </c>
    </row>
    <row r="244" spans="1:8" x14ac:dyDescent="0.25">
      <c r="A244">
        <v>20</v>
      </c>
      <c r="B244" s="2">
        <v>44125</v>
      </c>
      <c r="C244" s="4">
        <v>0.35416666666666669</v>
      </c>
      <c r="D244" s="4">
        <v>0.51180555555555551</v>
      </c>
      <c r="E244" s="4">
        <v>0.57152777777777775</v>
      </c>
      <c r="F244" s="4">
        <v>0.69791666666666663</v>
      </c>
      <c r="G244" s="5">
        <f t="shared" si="6"/>
        <v>6.8166666666666647</v>
      </c>
      <c r="H244" s="8">
        <f t="shared" si="7"/>
        <v>0.97013888888888888</v>
      </c>
    </row>
    <row r="245" spans="1:8" x14ac:dyDescent="0.25">
      <c r="A245">
        <v>80</v>
      </c>
      <c r="B245" s="2">
        <v>44126</v>
      </c>
      <c r="C245" s="4">
        <v>0.33680555555555558</v>
      </c>
      <c r="D245" s="4">
        <v>0.50416666666666665</v>
      </c>
      <c r="E245" s="4">
        <v>0.56805555555555554</v>
      </c>
      <c r="F245" s="4">
        <v>0.68611111111111101</v>
      </c>
      <c r="G245" s="5">
        <f t="shared" si="6"/>
        <v>6.849999999999997</v>
      </c>
      <c r="H245" s="8">
        <f t="shared" si="7"/>
        <v>0.99097222222222214</v>
      </c>
    </row>
    <row r="246" spans="1:8" x14ac:dyDescent="0.25">
      <c r="A246">
        <v>52</v>
      </c>
      <c r="B246" s="2">
        <v>44123</v>
      </c>
      <c r="C246" s="4">
        <v>0.34097222222222223</v>
      </c>
      <c r="D246" s="4">
        <v>0.50486111111111109</v>
      </c>
      <c r="E246" s="4">
        <v>0.54305555555555551</v>
      </c>
      <c r="F246" s="4">
        <v>0.69097222222222221</v>
      </c>
      <c r="G246" s="5">
        <f t="shared" si="6"/>
        <v>7.4833333333333334</v>
      </c>
      <c r="H246" s="8">
        <f t="shared" si="7"/>
        <v>1.0118055555555556</v>
      </c>
    </row>
    <row r="247" spans="1:8" x14ac:dyDescent="0.25">
      <c r="A247">
        <v>75</v>
      </c>
      <c r="B247" s="2">
        <v>44125</v>
      </c>
      <c r="C247" s="4">
        <v>0.37361111111111112</v>
      </c>
      <c r="D247" s="4">
        <v>0.49861111111111112</v>
      </c>
      <c r="E247" s="4">
        <v>0.56458333333333333</v>
      </c>
      <c r="F247" s="4">
        <v>0.70208333333333339</v>
      </c>
      <c r="G247" s="5">
        <f t="shared" si="6"/>
        <v>6.3000000000000016</v>
      </c>
      <c r="H247" s="8">
        <f t="shared" si="7"/>
        <v>1.9576388888888889</v>
      </c>
    </row>
    <row r="248" spans="1:8" x14ac:dyDescent="0.25">
      <c r="A248">
        <v>8</v>
      </c>
      <c r="B248" s="2">
        <v>44126</v>
      </c>
      <c r="C248" s="4">
        <v>0.3743055555555555</v>
      </c>
      <c r="D248" s="4">
        <v>0.49652777777777773</v>
      </c>
      <c r="E248" s="4">
        <v>0.56597222222222221</v>
      </c>
      <c r="F248" s="4">
        <v>0.70000000000000007</v>
      </c>
      <c r="G248" s="5">
        <f t="shared" si="6"/>
        <v>6.1500000000000021</v>
      </c>
      <c r="H248" s="8">
        <f t="shared" si="7"/>
        <v>1.9555555555555557</v>
      </c>
    </row>
    <row r="249" spans="1:8" x14ac:dyDescent="0.25">
      <c r="A249">
        <v>1</v>
      </c>
      <c r="B249" s="2">
        <v>44123</v>
      </c>
      <c r="C249" s="4">
        <v>0.34652777777777777</v>
      </c>
      <c r="D249" s="4">
        <v>0.51527777777777783</v>
      </c>
      <c r="E249" s="4">
        <v>0.55208333333333337</v>
      </c>
      <c r="F249" s="4">
        <v>0.68541666666666667</v>
      </c>
      <c r="G249" s="5">
        <f t="shared" si="6"/>
        <v>7.2500000000000009</v>
      </c>
      <c r="H249" s="8">
        <f t="shared" si="7"/>
        <v>0.99722222222222223</v>
      </c>
    </row>
    <row r="250" spans="1:8" x14ac:dyDescent="0.25">
      <c r="A250">
        <v>86</v>
      </c>
      <c r="B250" s="2">
        <v>44125</v>
      </c>
      <c r="C250" s="4">
        <v>0.32291666666666669</v>
      </c>
      <c r="D250" s="4">
        <v>0.5131944444444444</v>
      </c>
      <c r="E250" s="4">
        <v>0.56180555555555556</v>
      </c>
      <c r="F250" s="4">
        <v>0.68888888888888899</v>
      </c>
      <c r="G250" s="5">
        <f t="shared" si="6"/>
        <v>7.6166666666666671</v>
      </c>
      <c r="H250" s="8">
        <f t="shared" si="7"/>
        <v>1.0111111111111111</v>
      </c>
    </row>
    <row r="251" spans="1:8" x14ac:dyDescent="0.25">
      <c r="A251">
        <v>35</v>
      </c>
      <c r="B251" s="2">
        <v>44125</v>
      </c>
      <c r="C251" s="4">
        <v>0.3666666666666667</v>
      </c>
      <c r="D251" s="4">
        <v>0.49652777777777773</v>
      </c>
      <c r="E251" s="4">
        <v>0.53888888888888886</v>
      </c>
      <c r="F251" s="4">
        <v>0.69027777777777777</v>
      </c>
      <c r="G251" s="5">
        <f t="shared" si="6"/>
        <v>6.7499999999999982</v>
      </c>
      <c r="H251" s="8">
        <f t="shared" si="7"/>
        <v>0.99027777777777781</v>
      </c>
    </row>
    <row r="252" spans="1:8" x14ac:dyDescent="0.25">
      <c r="A252">
        <v>79</v>
      </c>
      <c r="B252" s="2">
        <v>44126</v>
      </c>
      <c r="C252" s="4">
        <v>0.34097222222222223</v>
      </c>
      <c r="D252" s="4">
        <v>0.52013888888888882</v>
      </c>
      <c r="E252" s="4">
        <v>0.54166666666666663</v>
      </c>
      <c r="F252" s="4">
        <v>0.70416666666666661</v>
      </c>
      <c r="G252" s="5">
        <f t="shared" si="6"/>
        <v>8.1999999999999975</v>
      </c>
      <c r="H252" s="8">
        <f t="shared" si="7"/>
        <v>1.3194444444444453E-2</v>
      </c>
    </row>
    <row r="253" spans="1:8" x14ac:dyDescent="0.25">
      <c r="A253">
        <v>18</v>
      </c>
      <c r="B253" s="2">
        <v>44124</v>
      </c>
      <c r="C253" s="4">
        <v>0.36805555555555558</v>
      </c>
      <c r="D253" s="4">
        <v>0.51250000000000007</v>
      </c>
      <c r="E253" s="4">
        <v>0.57013888888888886</v>
      </c>
      <c r="F253" s="4">
        <v>0.69305555555555554</v>
      </c>
      <c r="G253" s="5">
        <f t="shared" si="6"/>
        <v>6.4166666666666679</v>
      </c>
      <c r="H253" s="8">
        <f t="shared" si="7"/>
        <v>1.9576388888888889</v>
      </c>
    </row>
    <row r="254" spans="1:8" x14ac:dyDescent="0.25">
      <c r="A254">
        <v>52</v>
      </c>
      <c r="B254" s="2">
        <v>44123</v>
      </c>
      <c r="C254" s="4">
        <v>0.38680555555555557</v>
      </c>
      <c r="D254" s="4">
        <v>0.52013888888888882</v>
      </c>
      <c r="E254" s="4">
        <v>0.55486111111111114</v>
      </c>
      <c r="F254" s="4">
        <v>0.69791666666666663</v>
      </c>
      <c r="G254" s="5">
        <f t="shared" si="6"/>
        <v>6.6333333333333293</v>
      </c>
      <c r="H254" s="8">
        <f t="shared" si="7"/>
        <v>1.9541666666666666</v>
      </c>
    </row>
    <row r="255" spans="1:8" x14ac:dyDescent="0.25">
      <c r="A255">
        <v>21</v>
      </c>
      <c r="B255" s="2">
        <v>44125</v>
      </c>
      <c r="C255" s="4">
        <v>0.36319444444444443</v>
      </c>
      <c r="D255" s="4">
        <v>0.51180555555555551</v>
      </c>
      <c r="E255" s="4">
        <v>0.5395833333333333</v>
      </c>
      <c r="F255" s="4">
        <v>0.6875</v>
      </c>
      <c r="G255" s="5">
        <f t="shared" si="6"/>
        <v>7.1166666666666671</v>
      </c>
      <c r="H255" s="8">
        <f t="shared" si="7"/>
        <v>0.99305555555555558</v>
      </c>
    </row>
    <row r="256" spans="1:8" x14ac:dyDescent="0.25">
      <c r="A256">
        <v>35</v>
      </c>
      <c r="B256" s="2">
        <v>44126</v>
      </c>
      <c r="C256" s="4">
        <v>0.32222222222222224</v>
      </c>
      <c r="D256" s="4">
        <v>0.51041666666666663</v>
      </c>
      <c r="E256" s="4">
        <v>0.54791666666666672</v>
      </c>
      <c r="F256" s="4">
        <v>0.68611111111111101</v>
      </c>
      <c r="G256" s="5">
        <f t="shared" si="6"/>
        <v>7.8333333333333286</v>
      </c>
      <c r="H256" s="8">
        <f t="shared" si="7"/>
        <v>1.0256944444444445</v>
      </c>
    </row>
    <row r="257" spans="1:8" x14ac:dyDescent="0.25">
      <c r="A257">
        <v>47</v>
      </c>
      <c r="B257" s="2">
        <v>44124</v>
      </c>
      <c r="C257" s="4">
        <v>0.33819444444444446</v>
      </c>
      <c r="D257" s="4">
        <v>0.50972222222222219</v>
      </c>
      <c r="E257" s="4">
        <v>0.53888888888888886</v>
      </c>
      <c r="F257" s="4">
        <v>0.68819444444444444</v>
      </c>
      <c r="G257" s="5">
        <f t="shared" si="6"/>
        <v>7.6999999999999993</v>
      </c>
      <c r="H257" s="8">
        <f t="shared" si="7"/>
        <v>1.8749999999999989E-2</v>
      </c>
    </row>
    <row r="258" spans="1:8" x14ac:dyDescent="0.25">
      <c r="A258">
        <v>95</v>
      </c>
      <c r="B258" s="2">
        <v>44124</v>
      </c>
      <c r="C258" s="4">
        <v>0.34861111111111115</v>
      </c>
      <c r="D258" s="4">
        <v>0.49722222222222223</v>
      </c>
      <c r="E258" s="4">
        <v>0.5708333333333333</v>
      </c>
      <c r="F258" s="4">
        <v>0.68472222222222223</v>
      </c>
      <c r="G258" s="5">
        <f t="shared" si="6"/>
        <v>6.3000000000000007</v>
      </c>
      <c r="H258" s="8">
        <f t="shared" si="7"/>
        <v>0.97638888888888886</v>
      </c>
    </row>
    <row r="259" spans="1:8" x14ac:dyDescent="0.25">
      <c r="A259">
        <v>31</v>
      </c>
      <c r="B259" s="2">
        <v>44123</v>
      </c>
      <c r="C259" s="4">
        <v>0.33680555555555558</v>
      </c>
      <c r="D259" s="4">
        <v>0.50694444444444442</v>
      </c>
      <c r="E259" s="4">
        <v>0.54652777777777783</v>
      </c>
      <c r="F259" s="4">
        <v>0.70138888888888884</v>
      </c>
      <c r="G259" s="5">
        <f t="shared" si="6"/>
        <v>7.7999999999999963</v>
      </c>
      <c r="H259" s="8">
        <f t="shared" si="7"/>
        <v>1.0125</v>
      </c>
    </row>
    <row r="260" spans="1:8" x14ac:dyDescent="0.25">
      <c r="A260">
        <v>90</v>
      </c>
      <c r="B260" s="2">
        <v>44123</v>
      </c>
      <c r="C260" s="4">
        <v>0.3840277777777778</v>
      </c>
      <c r="D260" s="4">
        <v>0.50555555555555554</v>
      </c>
      <c r="E260" s="4">
        <v>0.56458333333333333</v>
      </c>
      <c r="F260" s="4">
        <v>0.68472222222222223</v>
      </c>
      <c r="G260" s="5">
        <f t="shared" si="6"/>
        <v>5.7999999999999989</v>
      </c>
      <c r="H260" s="8">
        <f t="shared" si="7"/>
        <v>1.9472222222222222</v>
      </c>
    </row>
    <row r="261" spans="1:8" x14ac:dyDescent="0.25">
      <c r="A261">
        <v>12</v>
      </c>
      <c r="B261" s="2">
        <v>44123</v>
      </c>
      <c r="C261" s="4">
        <v>0.32083333333333336</v>
      </c>
      <c r="D261" s="4">
        <v>0.51388888888888895</v>
      </c>
      <c r="E261" s="4">
        <v>0.55694444444444446</v>
      </c>
      <c r="F261" s="4">
        <v>0.68402777777777779</v>
      </c>
      <c r="G261" s="5">
        <f t="shared" si="6"/>
        <v>7.6833333333333345</v>
      </c>
      <c r="H261" s="8">
        <f t="shared" si="7"/>
        <v>1.0180555555555555</v>
      </c>
    </row>
    <row r="262" spans="1:8" x14ac:dyDescent="0.25">
      <c r="A262">
        <v>23</v>
      </c>
      <c r="B262" s="2">
        <v>44123</v>
      </c>
      <c r="C262" s="4">
        <v>0.32222222222222224</v>
      </c>
      <c r="D262" s="4">
        <v>0.51041666666666663</v>
      </c>
      <c r="E262" s="4">
        <v>0.54375000000000007</v>
      </c>
      <c r="F262" s="4">
        <v>0.68402777777777779</v>
      </c>
      <c r="G262" s="5">
        <f t="shared" si="6"/>
        <v>7.8833333333333311</v>
      </c>
      <c r="H262" s="8">
        <f t="shared" si="7"/>
        <v>1.0298611111111109</v>
      </c>
    </row>
    <row r="263" spans="1:8" x14ac:dyDescent="0.25">
      <c r="A263">
        <v>15</v>
      </c>
      <c r="B263" s="2">
        <v>44125</v>
      </c>
      <c r="C263" s="4">
        <v>0.38750000000000001</v>
      </c>
      <c r="D263" s="4">
        <v>0.50694444444444442</v>
      </c>
      <c r="E263" s="4">
        <v>0.56874999999999998</v>
      </c>
      <c r="F263" s="4">
        <v>0.69861111111111107</v>
      </c>
      <c r="G263" s="5">
        <f t="shared" si="6"/>
        <v>5.9833333333333325</v>
      </c>
      <c r="H263" s="8">
        <f t="shared" si="7"/>
        <v>1.9395833333333332</v>
      </c>
    </row>
    <row r="264" spans="1:8" x14ac:dyDescent="0.25">
      <c r="A264">
        <v>92</v>
      </c>
      <c r="B264" s="2">
        <v>44125</v>
      </c>
      <c r="C264" s="4">
        <v>0.33888888888888885</v>
      </c>
      <c r="D264" s="4">
        <v>0.5</v>
      </c>
      <c r="E264" s="4">
        <v>0.57152777777777775</v>
      </c>
      <c r="F264" s="4">
        <v>0.6958333333333333</v>
      </c>
      <c r="G264" s="5">
        <f t="shared" ref="G264:G327" si="8">((D264-C264)*24)+((F264-E264)*24)</f>
        <v>6.8500000000000014</v>
      </c>
      <c r="H264" s="8">
        <f t="shared" ref="H264:H327" si="9">MOD((TIME(8,30,0)-C264),1)+MOD((TIME(13,0,0)-E264),1)</f>
        <v>0.98541666666666672</v>
      </c>
    </row>
    <row r="265" spans="1:8" x14ac:dyDescent="0.25">
      <c r="A265">
        <v>41</v>
      </c>
      <c r="B265" s="2">
        <v>44125</v>
      </c>
      <c r="C265" s="4">
        <v>0.3215277777777778</v>
      </c>
      <c r="D265" s="4">
        <v>0.51597222222222217</v>
      </c>
      <c r="E265" s="4">
        <v>0.57222222222222219</v>
      </c>
      <c r="F265" s="4">
        <v>0.68472222222222223</v>
      </c>
      <c r="G265" s="5">
        <f t="shared" si="8"/>
        <v>7.3666666666666654</v>
      </c>
      <c r="H265" s="8">
        <f t="shared" si="9"/>
        <v>1.0020833333333332</v>
      </c>
    </row>
    <row r="266" spans="1:8" x14ac:dyDescent="0.25">
      <c r="A266">
        <v>12</v>
      </c>
      <c r="B266" s="2">
        <v>44124</v>
      </c>
      <c r="C266" s="4">
        <v>0.36041666666666666</v>
      </c>
      <c r="D266" s="4">
        <v>0.50624999999999998</v>
      </c>
      <c r="E266" s="4">
        <v>0.56597222222222221</v>
      </c>
      <c r="F266" s="4">
        <v>0.70000000000000007</v>
      </c>
      <c r="G266" s="5">
        <f t="shared" si="8"/>
        <v>6.7166666666666686</v>
      </c>
      <c r="H266" s="8">
        <f t="shared" si="9"/>
        <v>1.9694444444444446</v>
      </c>
    </row>
    <row r="267" spans="1:8" x14ac:dyDescent="0.25">
      <c r="A267">
        <v>34</v>
      </c>
      <c r="B267" s="2">
        <v>44123</v>
      </c>
      <c r="C267" s="4">
        <v>0.37083333333333335</v>
      </c>
      <c r="D267" s="4">
        <v>0.51041666666666663</v>
      </c>
      <c r="E267" s="4">
        <v>0.55069444444444449</v>
      </c>
      <c r="F267" s="4">
        <v>0.70347222222222217</v>
      </c>
      <c r="G267" s="5">
        <f t="shared" si="8"/>
        <v>7.0166666666666631</v>
      </c>
      <c r="H267" s="8">
        <f t="shared" si="9"/>
        <v>1.9743055555555555</v>
      </c>
    </row>
    <row r="268" spans="1:8" x14ac:dyDescent="0.25">
      <c r="A268">
        <v>70</v>
      </c>
      <c r="B268" s="2">
        <v>44126</v>
      </c>
      <c r="C268" s="4">
        <v>0.36388888888888887</v>
      </c>
      <c r="D268" s="4">
        <v>0.51180555555555551</v>
      </c>
      <c r="E268" s="4">
        <v>0.54583333333333328</v>
      </c>
      <c r="F268" s="4">
        <v>0.70416666666666661</v>
      </c>
      <c r="G268" s="5">
        <f t="shared" si="8"/>
        <v>7.35</v>
      </c>
      <c r="H268" s="8">
        <f t="shared" si="9"/>
        <v>1.9861111111111112</v>
      </c>
    </row>
    <row r="269" spans="1:8" x14ac:dyDescent="0.25">
      <c r="A269">
        <v>65</v>
      </c>
      <c r="B269" s="2">
        <v>44125</v>
      </c>
      <c r="C269" s="4">
        <v>0.37291666666666662</v>
      </c>
      <c r="D269" s="4">
        <v>0.50694444444444442</v>
      </c>
      <c r="E269" s="4">
        <v>0.56666666666666665</v>
      </c>
      <c r="F269" s="4">
        <v>0.69513888888888886</v>
      </c>
      <c r="G269" s="5">
        <f t="shared" si="8"/>
        <v>6.3000000000000007</v>
      </c>
      <c r="H269" s="8">
        <f t="shared" si="9"/>
        <v>1.95625</v>
      </c>
    </row>
    <row r="270" spans="1:8" x14ac:dyDescent="0.25">
      <c r="A270">
        <v>100</v>
      </c>
      <c r="B270" s="2">
        <v>44123</v>
      </c>
      <c r="C270" s="4">
        <v>0.38194444444444442</v>
      </c>
      <c r="D270" s="4">
        <v>0.51736111111111105</v>
      </c>
      <c r="E270" s="4">
        <v>0.57291666666666663</v>
      </c>
      <c r="F270" s="4">
        <v>0.70138888888888884</v>
      </c>
      <c r="G270" s="5">
        <f t="shared" si="8"/>
        <v>6.3333333333333321</v>
      </c>
      <c r="H270" s="8">
        <f t="shared" si="9"/>
        <v>1.9409722222222223</v>
      </c>
    </row>
    <row r="271" spans="1:8" x14ac:dyDescent="0.25">
      <c r="A271">
        <v>65</v>
      </c>
      <c r="B271" s="2">
        <v>44124</v>
      </c>
      <c r="C271" s="4">
        <v>0.34861111111111115</v>
      </c>
      <c r="D271" s="4">
        <v>0.50486111111111109</v>
      </c>
      <c r="E271" s="4">
        <v>0.57222222222222219</v>
      </c>
      <c r="F271" s="4">
        <v>0.70277777777777783</v>
      </c>
      <c r="G271" s="5">
        <f t="shared" si="8"/>
        <v>6.8833333333333346</v>
      </c>
      <c r="H271" s="8">
        <f t="shared" si="9"/>
        <v>0.97499999999999998</v>
      </c>
    </row>
    <row r="272" spans="1:8" x14ac:dyDescent="0.25">
      <c r="A272">
        <v>98</v>
      </c>
      <c r="B272" s="2">
        <v>44124</v>
      </c>
      <c r="C272" s="4">
        <v>0.38750000000000001</v>
      </c>
      <c r="D272" s="4">
        <v>0.51666666666666672</v>
      </c>
      <c r="E272" s="4">
        <v>0.54027777777777775</v>
      </c>
      <c r="F272" s="4">
        <v>0.68611111111111101</v>
      </c>
      <c r="G272" s="5">
        <f t="shared" si="8"/>
        <v>6.6</v>
      </c>
      <c r="H272" s="8">
        <f t="shared" si="9"/>
        <v>0.96805555555555556</v>
      </c>
    </row>
    <row r="273" spans="1:8" x14ac:dyDescent="0.25">
      <c r="A273">
        <v>74</v>
      </c>
      <c r="B273" s="2">
        <v>44125</v>
      </c>
      <c r="C273" s="4">
        <v>0.33958333333333335</v>
      </c>
      <c r="D273" s="4">
        <v>0.50069444444444444</v>
      </c>
      <c r="E273" s="4">
        <v>0.55625000000000002</v>
      </c>
      <c r="F273" s="4">
        <v>0.68472222222222223</v>
      </c>
      <c r="G273" s="5">
        <f t="shared" si="8"/>
        <v>6.9499999999999993</v>
      </c>
      <c r="H273" s="8">
        <f t="shared" si="9"/>
        <v>1</v>
      </c>
    </row>
    <row r="274" spans="1:8" x14ac:dyDescent="0.25">
      <c r="A274">
        <v>36</v>
      </c>
      <c r="B274" s="2">
        <v>44125</v>
      </c>
      <c r="C274" s="4">
        <v>0.35069444444444442</v>
      </c>
      <c r="D274" s="4">
        <v>0.50347222222222221</v>
      </c>
      <c r="E274" s="4">
        <v>0.56736111111111109</v>
      </c>
      <c r="F274" s="4">
        <v>0.68402777777777779</v>
      </c>
      <c r="G274" s="5">
        <f t="shared" si="8"/>
        <v>6.4666666666666677</v>
      </c>
      <c r="H274" s="8">
        <f t="shared" si="9"/>
        <v>0.97777777777777786</v>
      </c>
    </row>
    <row r="275" spans="1:8" x14ac:dyDescent="0.25">
      <c r="A275">
        <v>15</v>
      </c>
      <c r="B275" s="2">
        <v>44125</v>
      </c>
      <c r="C275" s="4">
        <v>0.32222222222222224</v>
      </c>
      <c r="D275" s="4">
        <v>0.51111111111111118</v>
      </c>
      <c r="E275" s="4">
        <v>0.5444444444444444</v>
      </c>
      <c r="F275" s="4">
        <v>0.70277777777777783</v>
      </c>
      <c r="G275" s="5">
        <f t="shared" si="8"/>
        <v>8.3333333333333375</v>
      </c>
      <c r="H275" s="8">
        <f t="shared" si="9"/>
        <v>1.0291666666666668</v>
      </c>
    </row>
    <row r="276" spans="1:8" x14ac:dyDescent="0.25">
      <c r="A276">
        <v>27</v>
      </c>
      <c r="B276" s="2">
        <v>44124</v>
      </c>
      <c r="C276" s="4">
        <v>0.3215277777777778</v>
      </c>
      <c r="D276" s="4">
        <v>0.51527777777777783</v>
      </c>
      <c r="E276" s="4">
        <v>0.56736111111111109</v>
      </c>
      <c r="F276" s="4">
        <v>0.68819444444444444</v>
      </c>
      <c r="G276" s="5">
        <f t="shared" si="8"/>
        <v>7.5500000000000007</v>
      </c>
      <c r="H276" s="8">
        <f t="shared" si="9"/>
        <v>1.0069444444444444</v>
      </c>
    </row>
    <row r="277" spans="1:8" x14ac:dyDescent="0.25">
      <c r="A277">
        <v>86</v>
      </c>
      <c r="B277" s="2">
        <v>44124</v>
      </c>
      <c r="C277" s="4">
        <v>0.36319444444444443</v>
      </c>
      <c r="D277" s="4">
        <v>0.50416666666666665</v>
      </c>
      <c r="E277" s="4">
        <v>0.57430555555555551</v>
      </c>
      <c r="F277" s="4">
        <v>0.68472222222222223</v>
      </c>
      <c r="G277" s="5">
        <f t="shared" si="8"/>
        <v>6.033333333333335</v>
      </c>
      <c r="H277" s="8">
        <f t="shared" si="9"/>
        <v>1.9583333333333335</v>
      </c>
    </row>
    <row r="278" spans="1:8" x14ac:dyDescent="0.25">
      <c r="A278">
        <v>79</v>
      </c>
      <c r="B278" s="2">
        <v>44123</v>
      </c>
      <c r="C278" s="4">
        <v>0.33680555555555558</v>
      </c>
      <c r="D278" s="4">
        <v>0.50347222222222221</v>
      </c>
      <c r="E278" s="4">
        <v>0.55694444444444446</v>
      </c>
      <c r="F278" s="4">
        <v>0.70416666666666661</v>
      </c>
      <c r="G278" s="5">
        <f t="shared" si="8"/>
        <v>7.5333333333333306</v>
      </c>
      <c r="H278" s="8">
        <f t="shared" si="9"/>
        <v>1.0020833333333332</v>
      </c>
    </row>
    <row r="279" spans="1:8" x14ac:dyDescent="0.25">
      <c r="A279">
        <v>100</v>
      </c>
      <c r="B279" s="2">
        <v>44125</v>
      </c>
      <c r="C279" s="4">
        <v>0.32500000000000001</v>
      </c>
      <c r="D279" s="4">
        <v>0.49861111111111112</v>
      </c>
      <c r="E279" s="4">
        <v>0.57430555555555551</v>
      </c>
      <c r="F279" s="4">
        <v>0.69652777777777775</v>
      </c>
      <c r="G279" s="5">
        <f t="shared" si="8"/>
        <v>7.1</v>
      </c>
      <c r="H279" s="8">
        <f t="shared" si="9"/>
        <v>0.99652777777777779</v>
      </c>
    </row>
    <row r="280" spans="1:8" x14ac:dyDescent="0.25">
      <c r="A280">
        <v>79</v>
      </c>
      <c r="B280" s="2">
        <v>44126</v>
      </c>
      <c r="C280" s="4">
        <v>0.37013888888888885</v>
      </c>
      <c r="D280" s="4">
        <v>0.50347222222222221</v>
      </c>
      <c r="E280" s="4">
        <v>0.57777777777777783</v>
      </c>
      <c r="F280" s="4">
        <v>0.69166666666666676</v>
      </c>
      <c r="G280" s="5">
        <f t="shared" si="8"/>
        <v>5.9333333333333353</v>
      </c>
      <c r="H280" s="8">
        <f t="shared" si="9"/>
        <v>1.9479166666666665</v>
      </c>
    </row>
    <row r="281" spans="1:8" x14ac:dyDescent="0.25">
      <c r="A281">
        <v>62</v>
      </c>
      <c r="B281" s="2">
        <v>44124</v>
      </c>
      <c r="C281" s="4">
        <v>0.31597222222222221</v>
      </c>
      <c r="D281" s="4">
        <v>0.50972222222222219</v>
      </c>
      <c r="E281" s="4">
        <v>0.53888888888888886</v>
      </c>
      <c r="F281" s="4">
        <v>0.68402777777777779</v>
      </c>
      <c r="G281" s="5">
        <f t="shared" si="8"/>
        <v>8.1333333333333329</v>
      </c>
      <c r="H281" s="8">
        <f t="shared" si="9"/>
        <v>4.0972222222222243E-2</v>
      </c>
    </row>
    <row r="282" spans="1:8" x14ac:dyDescent="0.25">
      <c r="A282">
        <v>15</v>
      </c>
      <c r="B282" s="2">
        <v>44126</v>
      </c>
      <c r="C282" s="4">
        <v>0.33680555555555558</v>
      </c>
      <c r="D282" s="4">
        <v>0.50902777777777775</v>
      </c>
      <c r="E282" s="4">
        <v>0.54513888888888895</v>
      </c>
      <c r="F282" s="4">
        <v>0.70416666666666661</v>
      </c>
      <c r="G282" s="5">
        <f t="shared" si="8"/>
        <v>7.9499999999999957</v>
      </c>
      <c r="H282" s="8">
        <f t="shared" si="9"/>
        <v>1.0138888888888888</v>
      </c>
    </row>
    <row r="283" spans="1:8" x14ac:dyDescent="0.25">
      <c r="A283">
        <v>29</v>
      </c>
      <c r="B283" s="2">
        <v>44126</v>
      </c>
      <c r="C283" s="4">
        <v>0.33333333333333331</v>
      </c>
      <c r="D283" s="4">
        <v>0.50069444444444444</v>
      </c>
      <c r="E283" s="4">
        <v>0.55555555555555558</v>
      </c>
      <c r="F283" s="4">
        <v>0.68472222222222223</v>
      </c>
      <c r="G283" s="5">
        <f t="shared" si="8"/>
        <v>7.1166666666666671</v>
      </c>
      <c r="H283" s="8">
        <f t="shared" si="9"/>
        <v>1.0069444444444444</v>
      </c>
    </row>
    <row r="284" spans="1:8" x14ac:dyDescent="0.25">
      <c r="A284">
        <v>44</v>
      </c>
      <c r="B284" s="2">
        <v>44123</v>
      </c>
      <c r="C284" s="4">
        <v>0.38680555555555557</v>
      </c>
      <c r="D284" s="4">
        <v>0.49652777777777773</v>
      </c>
      <c r="E284" s="4">
        <v>0.56944444444444442</v>
      </c>
      <c r="F284" s="4">
        <v>0.69652777777777775</v>
      </c>
      <c r="G284" s="5">
        <f t="shared" si="8"/>
        <v>5.6833333333333318</v>
      </c>
      <c r="H284" s="8">
        <f t="shared" si="9"/>
        <v>1.9395833333333332</v>
      </c>
    </row>
    <row r="285" spans="1:8" x14ac:dyDescent="0.25">
      <c r="A285">
        <v>22</v>
      </c>
      <c r="B285" s="2">
        <v>44126</v>
      </c>
      <c r="C285" s="4">
        <v>0.31388888888888888</v>
      </c>
      <c r="D285" s="4">
        <v>0.51874999999999993</v>
      </c>
      <c r="E285" s="4">
        <v>0.55347222222222225</v>
      </c>
      <c r="F285" s="4">
        <v>0.68472222222222223</v>
      </c>
      <c r="G285" s="5">
        <f t="shared" si="8"/>
        <v>8.0666666666666647</v>
      </c>
      <c r="H285" s="8">
        <f t="shared" si="9"/>
        <v>1.0284722222222222</v>
      </c>
    </row>
    <row r="286" spans="1:8" x14ac:dyDescent="0.25">
      <c r="A286">
        <v>100</v>
      </c>
      <c r="B286" s="2">
        <v>44126</v>
      </c>
      <c r="C286" s="4">
        <v>0.3743055555555555</v>
      </c>
      <c r="D286" s="4">
        <v>0.51111111111111118</v>
      </c>
      <c r="E286" s="4">
        <v>0.5625</v>
      </c>
      <c r="F286" s="4">
        <v>0.69930555555555562</v>
      </c>
      <c r="G286" s="5">
        <f t="shared" si="8"/>
        <v>6.5666666666666718</v>
      </c>
      <c r="H286" s="8">
        <f t="shared" si="9"/>
        <v>1.9590277777777778</v>
      </c>
    </row>
    <row r="287" spans="1:8" x14ac:dyDescent="0.25">
      <c r="A287">
        <v>81</v>
      </c>
      <c r="B287" s="2">
        <v>44126</v>
      </c>
      <c r="C287" s="4">
        <v>0.32777777777777778</v>
      </c>
      <c r="D287" s="4">
        <v>0.51666666666666672</v>
      </c>
      <c r="E287" s="4">
        <v>0.54583333333333328</v>
      </c>
      <c r="F287" s="4">
        <v>0.6958333333333333</v>
      </c>
      <c r="G287" s="5">
        <f t="shared" si="8"/>
        <v>8.1333333333333364</v>
      </c>
      <c r="H287" s="8">
        <f t="shared" si="9"/>
        <v>1.0222222222222221</v>
      </c>
    </row>
    <row r="288" spans="1:8" x14ac:dyDescent="0.25">
      <c r="A288">
        <v>49</v>
      </c>
      <c r="B288" s="2">
        <v>44123</v>
      </c>
      <c r="C288" s="4">
        <v>0.34513888888888888</v>
      </c>
      <c r="D288" s="4">
        <v>0.50902777777777775</v>
      </c>
      <c r="E288" s="4">
        <v>0.57430555555555551</v>
      </c>
      <c r="F288" s="4">
        <v>0.68541666666666667</v>
      </c>
      <c r="G288" s="5">
        <f t="shared" si="8"/>
        <v>6.6000000000000005</v>
      </c>
      <c r="H288" s="8">
        <f t="shared" si="9"/>
        <v>0.97638888888888897</v>
      </c>
    </row>
    <row r="289" spans="1:8" x14ac:dyDescent="0.25">
      <c r="A289">
        <v>22</v>
      </c>
      <c r="B289" s="2">
        <v>44123</v>
      </c>
      <c r="C289" s="4">
        <v>0.33888888888888885</v>
      </c>
      <c r="D289" s="4">
        <v>0.51736111111111105</v>
      </c>
      <c r="E289" s="4">
        <v>0.56805555555555554</v>
      </c>
      <c r="F289" s="4">
        <v>0.69791666666666663</v>
      </c>
      <c r="G289" s="5">
        <f t="shared" si="8"/>
        <v>7.3999999999999995</v>
      </c>
      <c r="H289" s="8">
        <f t="shared" si="9"/>
        <v>0.98888888888888893</v>
      </c>
    </row>
    <row r="290" spans="1:8" x14ac:dyDescent="0.25">
      <c r="A290">
        <v>56</v>
      </c>
      <c r="B290" s="2">
        <v>44126</v>
      </c>
      <c r="C290" s="4">
        <v>0.32847222222222222</v>
      </c>
      <c r="D290" s="4">
        <v>0.52013888888888882</v>
      </c>
      <c r="E290" s="4">
        <v>0.57222222222222219</v>
      </c>
      <c r="F290" s="4">
        <v>0.68472222222222223</v>
      </c>
      <c r="G290" s="5">
        <f t="shared" si="8"/>
        <v>7.2999999999999989</v>
      </c>
      <c r="H290" s="8">
        <f t="shared" si="9"/>
        <v>0.99513888888888891</v>
      </c>
    </row>
    <row r="291" spans="1:8" x14ac:dyDescent="0.25">
      <c r="A291">
        <v>65</v>
      </c>
      <c r="B291" s="2">
        <v>44125</v>
      </c>
      <c r="C291" s="4">
        <v>0.35972222222222222</v>
      </c>
      <c r="D291" s="4">
        <v>0.5131944444444444</v>
      </c>
      <c r="E291" s="4">
        <v>0.54722222222222217</v>
      </c>
      <c r="F291" s="4">
        <v>0.68888888888888899</v>
      </c>
      <c r="G291" s="5">
        <f t="shared" si="8"/>
        <v>7.0833333333333357</v>
      </c>
      <c r="H291" s="8">
        <f t="shared" si="9"/>
        <v>1.9888888888888889</v>
      </c>
    </row>
    <row r="292" spans="1:8" x14ac:dyDescent="0.25">
      <c r="A292">
        <v>19</v>
      </c>
      <c r="B292" s="2">
        <v>44123</v>
      </c>
      <c r="C292" s="4">
        <v>0.3347222222222222</v>
      </c>
      <c r="D292" s="4">
        <v>0.51041666666666663</v>
      </c>
      <c r="E292" s="4">
        <v>0.5541666666666667</v>
      </c>
      <c r="F292" s="4">
        <v>0.69374999999999998</v>
      </c>
      <c r="G292" s="5">
        <f t="shared" si="8"/>
        <v>7.5666666666666655</v>
      </c>
      <c r="H292" s="8">
        <f t="shared" si="9"/>
        <v>1.0069444444444444</v>
      </c>
    </row>
    <row r="293" spans="1:8" x14ac:dyDescent="0.25">
      <c r="A293">
        <v>60</v>
      </c>
      <c r="B293" s="2">
        <v>44126</v>
      </c>
      <c r="C293" s="4">
        <v>0.34791666666666665</v>
      </c>
      <c r="D293" s="4">
        <v>0.50138888888888888</v>
      </c>
      <c r="E293" s="4">
        <v>0.56736111111111109</v>
      </c>
      <c r="F293" s="4">
        <v>0.69791666666666663</v>
      </c>
      <c r="G293" s="5">
        <f t="shared" si="8"/>
        <v>6.8166666666666664</v>
      </c>
      <c r="H293" s="8">
        <f t="shared" si="9"/>
        <v>0.98055555555555562</v>
      </c>
    </row>
    <row r="294" spans="1:8" x14ac:dyDescent="0.25">
      <c r="A294">
        <v>29</v>
      </c>
      <c r="B294" s="2">
        <v>44126</v>
      </c>
      <c r="C294" s="4">
        <v>0.3298611111111111</v>
      </c>
      <c r="D294" s="4">
        <v>0.5131944444444444</v>
      </c>
      <c r="E294" s="4">
        <v>0.5625</v>
      </c>
      <c r="F294" s="4">
        <v>0.69374999999999998</v>
      </c>
      <c r="G294" s="5">
        <f t="shared" si="8"/>
        <v>7.549999999999998</v>
      </c>
      <c r="H294" s="8">
        <f t="shared" si="9"/>
        <v>1.0034722222222223</v>
      </c>
    </row>
    <row r="295" spans="1:8" x14ac:dyDescent="0.25">
      <c r="A295">
        <v>50</v>
      </c>
      <c r="B295" s="2">
        <v>44126</v>
      </c>
      <c r="C295" s="4">
        <v>0.37638888888888888</v>
      </c>
      <c r="D295" s="4">
        <v>0.51180555555555551</v>
      </c>
      <c r="E295" s="4">
        <v>0.55208333333333337</v>
      </c>
      <c r="F295" s="4">
        <v>0.70208333333333339</v>
      </c>
      <c r="G295" s="5">
        <f t="shared" si="8"/>
        <v>6.85</v>
      </c>
      <c r="H295" s="8">
        <f t="shared" si="9"/>
        <v>1.9673611111111111</v>
      </c>
    </row>
    <row r="296" spans="1:8" x14ac:dyDescent="0.25">
      <c r="A296">
        <v>72</v>
      </c>
      <c r="B296" s="2">
        <v>44126</v>
      </c>
      <c r="C296" s="4">
        <v>0.3840277777777778</v>
      </c>
      <c r="D296" s="4">
        <v>0.5083333333333333</v>
      </c>
      <c r="E296" s="4">
        <v>0.57361111111111118</v>
      </c>
      <c r="F296" s="4">
        <v>0.69097222222222221</v>
      </c>
      <c r="G296" s="5">
        <f t="shared" si="8"/>
        <v>5.7999999999999972</v>
      </c>
      <c r="H296" s="8">
        <f t="shared" si="9"/>
        <v>1.9381944444444443</v>
      </c>
    </row>
    <row r="297" spans="1:8" x14ac:dyDescent="0.25">
      <c r="A297">
        <v>13</v>
      </c>
      <c r="B297" s="2">
        <v>44124</v>
      </c>
      <c r="C297" s="4">
        <v>0.33611111111111108</v>
      </c>
      <c r="D297" s="4">
        <v>0.50486111111111109</v>
      </c>
      <c r="E297" s="4">
        <v>0.53819444444444442</v>
      </c>
      <c r="F297" s="4">
        <v>0.70000000000000007</v>
      </c>
      <c r="G297" s="5">
        <f t="shared" si="8"/>
        <v>7.9333333333333362</v>
      </c>
      <c r="H297" s="8">
        <f t="shared" si="9"/>
        <v>2.1527777777777812E-2</v>
      </c>
    </row>
    <row r="298" spans="1:8" x14ac:dyDescent="0.25">
      <c r="A298">
        <v>34</v>
      </c>
      <c r="B298" s="2">
        <v>44125</v>
      </c>
      <c r="C298" s="4">
        <v>0.36805555555555558</v>
      </c>
      <c r="D298" s="4">
        <v>0.50972222222222219</v>
      </c>
      <c r="E298" s="4">
        <v>0.57430555555555551</v>
      </c>
      <c r="F298" s="4">
        <v>0.69305555555555554</v>
      </c>
      <c r="G298" s="5">
        <f t="shared" si="8"/>
        <v>6.2499999999999991</v>
      </c>
      <c r="H298" s="8">
        <f t="shared" si="9"/>
        <v>1.9534722222222223</v>
      </c>
    </row>
    <row r="299" spans="1:8" x14ac:dyDescent="0.25">
      <c r="A299">
        <v>22</v>
      </c>
      <c r="B299" s="2">
        <v>44125</v>
      </c>
      <c r="C299" s="4">
        <v>0.34097222222222223</v>
      </c>
      <c r="D299" s="4">
        <v>0.50694444444444442</v>
      </c>
      <c r="E299" s="4">
        <v>0.56944444444444442</v>
      </c>
      <c r="F299" s="4">
        <v>0.68541666666666667</v>
      </c>
      <c r="G299" s="5">
        <f t="shared" si="8"/>
        <v>6.7666666666666666</v>
      </c>
      <c r="H299" s="8">
        <f t="shared" si="9"/>
        <v>0.98541666666666661</v>
      </c>
    </row>
    <row r="300" spans="1:8" x14ac:dyDescent="0.25">
      <c r="A300">
        <v>84</v>
      </c>
      <c r="B300" s="2">
        <v>44123</v>
      </c>
      <c r="C300" s="4">
        <v>0.37152777777777773</v>
      </c>
      <c r="D300" s="4">
        <v>0.51111111111111118</v>
      </c>
      <c r="E300" s="4">
        <v>0.54861111111111105</v>
      </c>
      <c r="F300" s="4">
        <v>0.68888888888888899</v>
      </c>
      <c r="G300" s="5">
        <f t="shared" si="8"/>
        <v>6.7166666666666739</v>
      </c>
      <c r="H300" s="8">
        <f t="shared" si="9"/>
        <v>1.9756944444444446</v>
      </c>
    </row>
    <row r="301" spans="1:8" x14ac:dyDescent="0.25">
      <c r="A301">
        <v>99</v>
      </c>
      <c r="B301" s="2">
        <v>44125</v>
      </c>
      <c r="C301" s="4">
        <v>0.38263888888888892</v>
      </c>
      <c r="D301" s="4">
        <v>0.51527777777777783</v>
      </c>
      <c r="E301" s="4">
        <v>0.57916666666666672</v>
      </c>
      <c r="F301" s="4">
        <v>0.70138888888888884</v>
      </c>
      <c r="G301" s="5">
        <f t="shared" si="8"/>
        <v>6.1166666666666654</v>
      </c>
      <c r="H301" s="8">
        <f t="shared" si="9"/>
        <v>1.9340277777777777</v>
      </c>
    </row>
    <row r="302" spans="1:8" x14ac:dyDescent="0.25">
      <c r="A302">
        <v>42</v>
      </c>
      <c r="B302" s="2">
        <v>44125</v>
      </c>
      <c r="C302" s="4">
        <v>0.36805555555555558</v>
      </c>
      <c r="D302" s="4">
        <v>0.50416666666666665</v>
      </c>
      <c r="E302" s="4">
        <v>0.55902777777777779</v>
      </c>
      <c r="F302" s="4">
        <v>0.68819444444444444</v>
      </c>
      <c r="G302" s="5">
        <f t="shared" si="8"/>
        <v>6.3666666666666654</v>
      </c>
      <c r="H302" s="8">
        <f t="shared" si="9"/>
        <v>1.96875</v>
      </c>
    </row>
    <row r="303" spans="1:8" x14ac:dyDescent="0.25">
      <c r="A303">
        <v>99</v>
      </c>
      <c r="B303" s="2">
        <v>44124</v>
      </c>
      <c r="C303" s="4">
        <v>0.3125</v>
      </c>
      <c r="D303" s="4">
        <v>0.51458333333333328</v>
      </c>
      <c r="E303" s="4">
        <v>0.57638888888888895</v>
      </c>
      <c r="F303" s="4">
        <v>0.69097222222222221</v>
      </c>
      <c r="G303" s="5">
        <f t="shared" si="8"/>
        <v>7.599999999999997</v>
      </c>
      <c r="H303" s="8">
        <f t="shared" si="9"/>
        <v>1.0069444444444444</v>
      </c>
    </row>
    <row r="304" spans="1:8" x14ac:dyDescent="0.25">
      <c r="A304">
        <v>78</v>
      </c>
      <c r="B304" s="2">
        <v>44124</v>
      </c>
      <c r="C304" s="4">
        <v>0.37986111111111115</v>
      </c>
      <c r="D304" s="4">
        <v>0.5083333333333333</v>
      </c>
      <c r="E304" s="4">
        <v>0.55277777777777781</v>
      </c>
      <c r="F304" s="4">
        <v>0.70138888888888884</v>
      </c>
      <c r="G304" s="5">
        <f t="shared" si="8"/>
        <v>6.6499999999999968</v>
      </c>
      <c r="H304" s="8">
        <f t="shared" si="9"/>
        <v>1.9631944444444445</v>
      </c>
    </row>
    <row r="305" spans="1:8" x14ac:dyDescent="0.25">
      <c r="A305">
        <v>22</v>
      </c>
      <c r="B305" s="2">
        <v>44124</v>
      </c>
      <c r="C305" s="4">
        <v>0.36805555555555558</v>
      </c>
      <c r="D305" s="4">
        <v>0.51527777777777783</v>
      </c>
      <c r="E305" s="4">
        <v>0.55694444444444446</v>
      </c>
      <c r="F305" s="4">
        <v>0.69444444444444453</v>
      </c>
      <c r="G305" s="5">
        <f t="shared" si="8"/>
        <v>6.8333333333333357</v>
      </c>
      <c r="H305" s="8">
        <f t="shared" si="9"/>
        <v>1.9708333333333332</v>
      </c>
    </row>
    <row r="306" spans="1:8" x14ac:dyDescent="0.25">
      <c r="A306">
        <v>10</v>
      </c>
      <c r="B306" s="2">
        <v>44125</v>
      </c>
      <c r="C306" s="4">
        <v>0.32013888888888892</v>
      </c>
      <c r="D306" s="4">
        <v>0.4993055555555555</v>
      </c>
      <c r="E306" s="4">
        <v>0.55833333333333335</v>
      </c>
      <c r="F306" s="4">
        <v>0.69444444444444453</v>
      </c>
      <c r="G306" s="5">
        <f t="shared" si="8"/>
        <v>7.5666666666666664</v>
      </c>
      <c r="H306" s="8">
        <f t="shared" si="9"/>
        <v>1.0173611111111112</v>
      </c>
    </row>
    <row r="307" spans="1:8" x14ac:dyDescent="0.25">
      <c r="A307">
        <v>72</v>
      </c>
      <c r="B307" s="2">
        <v>44125</v>
      </c>
      <c r="C307" s="4">
        <v>0.38125000000000003</v>
      </c>
      <c r="D307" s="4">
        <v>0.51111111111111118</v>
      </c>
      <c r="E307" s="4">
        <v>0.55625000000000002</v>
      </c>
      <c r="F307" s="4">
        <v>0.70138888888888884</v>
      </c>
      <c r="G307" s="5">
        <f t="shared" si="8"/>
        <v>6.6</v>
      </c>
      <c r="H307" s="8">
        <f t="shared" si="9"/>
        <v>1.9583333333333333</v>
      </c>
    </row>
    <row r="308" spans="1:8" x14ac:dyDescent="0.25">
      <c r="A308">
        <v>37</v>
      </c>
      <c r="B308" s="2">
        <v>44126</v>
      </c>
      <c r="C308" s="4">
        <v>0.34375</v>
      </c>
      <c r="D308" s="4">
        <v>0.51597222222222217</v>
      </c>
      <c r="E308" s="4">
        <v>0.54027777777777775</v>
      </c>
      <c r="F308" s="4">
        <v>0.69374999999999998</v>
      </c>
      <c r="G308" s="5">
        <f t="shared" si="8"/>
        <v>7.8166666666666655</v>
      </c>
      <c r="H308" s="8">
        <f t="shared" si="9"/>
        <v>1.1805555555555569E-2</v>
      </c>
    </row>
    <row r="309" spans="1:8" x14ac:dyDescent="0.25">
      <c r="A309">
        <v>32</v>
      </c>
      <c r="B309" s="2">
        <v>44123</v>
      </c>
      <c r="C309" s="4">
        <v>0.3840277777777778</v>
      </c>
      <c r="D309" s="4">
        <v>0.4993055555555555</v>
      </c>
      <c r="E309" s="4">
        <v>0.5395833333333333</v>
      </c>
      <c r="F309" s="4">
        <v>0.68402777777777779</v>
      </c>
      <c r="G309" s="5">
        <f t="shared" si="8"/>
        <v>6.2333333333333325</v>
      </c>
      <c r="H309" s="8">
        <f t="shared" si="9"/>
        <v>0.97222222222222221</v>
      </c>
    </row>
    <row r="310" spans="1:8" x14ac:dyDescent="0.25">
      <c r="A310">
        <v>56</v>
      </c>
      <c r="B310" s="2">
        <v>44126</v>
      </c>
      <c r="C310" s="4">
        <v>0.35833333333333334</v>
      </c>
      <c r="D310" s="4">
        <v>0.5083333333333333</v>
      </c>
      <c r="E310" s="4">
        <v>0.57291666666666663</v>
      </c>
      <c r="F310" s="4">
        <v>0.6958333333333333</v>
      </c>
      <c r="G310" s="5">
        <f t="shared" si="8"/>
        <v>6.5499999999999989</v>
      </c>
      <c r="H310" s="8">
        <f t="shared" si="9"/>
        <v>1.9645833333333333</v>
      </c>
    </row>
    <row r="311" spans="1:8" x14ac:dyDescent="0.25">
      <c r="A311">
        <v>65</v>
      </c>
      <c r="B311" s="2">
        <v>44126</v>
      </c>
      <c r="C311" s="4">
        <v>0.37708333333333338</v>
      </c>
      <c r="D311" s="4">
        <v>0.50763888888888886</v>
      </c>
      <c r="E311" s="4">
        <v>0.56388888888888888</v>
      </c>
      <c r="F311" s="4">
        <v>0.69652777777777775</v>
      </c>
      <c r="G311" s="5">
        <f t="shared" si="8"/>
        <v>6.3166666666666647</v>
      </c>
      <c r="H311" s="8">
        <f t="shared" si="9"/>
        <v>1.9548611111111112</v>
      </c>
    </row>
    <row r="312" spans="1:8" x14ac:dyDescent="0.25">
      <c r="A312">
        <v>14</v>
      </c>
      <c r="B312" s="2">
        <v>44126</v>
      </c>
      <c r="C312" s="4">
        <v>0.3125</v>
      </c>
      <c r="D312" s="4">
        <v>0.51944444444444449</v>
      </c>
      <c r="E312" s="4">
        <v>0.57291666666666663</v>
      </c>
      <c r="F312" s="4">
        <v>0.69097222222222221</v>
      </c>
      <c r="G312" s="5">
        <f t="shared" si="8"/>
        <v>7.8000000000000016</v>
      </c>
      <c r="H312" s="8">
        <f t="shared" si="9"/>
        <v>1.0104166666666667</v>
      </c>
    </row>
    <row r="313" spans="1:8" x14ac:dyDescent="0.25">
      <c r="A313">
        <v>19</v>
      </c>
      <c r="B313" s="2">
        <v>44123</v>
      </c>
      <c r="C313" s="4">
        <v>0.31736111111111115</v>
      </c>
      <c r="D313" s="4">
        <v>0.50624999999999998</v>
      </c>
      <c r="E313" s="4">
        <v>0.57500000000000007</v>
      </c>
      <c r="F313" s="4">
        <v>0.68611111111111101</v>
      </c>
      <c r="G313" s="5">
        <f t="shared" si="8"/>
        <v>7.199999999999994</v>
      </c>
      <c r="H313" s="8">
        <f t="shared" si="9"/>
        <v>1.0034722222222221</v>
      </c>
    </row>
    <row r="314" spans="1:8" x14ac:dyDescent="0.25">
      <c r="A314">
        <v>18</v>
      </c>
      <c r="B314" s="2">
        <v>44126</v>
      </c>
      <c r="C314" s="4">
        <v>0.35625000000000001</v>
      </c>
      <c r="D314" s="4">
        <v>0.49791666666666662</v>
      </c>
      <c r="E314" s="4">
        <v>0.57430555555555551</v>
      </c>
      <c r="F314" s="4">
        <v>0.6972222222222223</v>
      </c>
      <c r="G314" s="5">
        <f t="shared" si="8"/>
        <v>6.3500000000000014</v>
      </c>
      <c r="H314" s="8">
        <f t="shared" si="9"/>
        <v>1.9652777777777777</v>
      </c>
    </row>
    <row r="315" spans="1:8" x14ac:dyDescent="0.25">
      <c r="A315">
        <v>73</v>
      </c>
      <c r="B315" s="2">
        <v>44126</v>
      </c>
      <c r="C315" s="4">
        <v>0.33888888888888885</v>
      </c>
      <c r="D315" s="4">
        <v>0.49652777777777773</v>
      </c>
      <c r="E315" s="4">
        <v>0.56527777777777777</v>
      </c>
      <c r="F315" s="4">
        <v>0.69305555555555554</v>
      </c>
      <c r="G315" s="5">
        <f t="shared" si="8"/>
        <v>6.85</v>
      </c>
      <c r="H315" s="8">
        <f t="shared" si="9"/>
        <v>0.9916666666666667</v>
      </c>
    </row>
    <row r="316" spans="1:8" x14ac:dyDescent="0.25">
      <c r="A316">
        <v>95</v>
      </c>
      <c r="B316" s="2">
        <v>44125</v>
      </c>
      <c r="C316" s="4">
        <v>0.35486111111111113</v>
      </c>
      <c r="D316" s="4">
        <v>0.49722222222222223</v>
      </c>
      <c r="E316" s="4">
        <v>0.57847222222222217</v>
      </c>
      <c r="F316" s="4">
        <v>0.68402777777777779</v>
      </c>
      <c r="G316" s="5">
        <f t="shared" si="8"/>
        <v>5.9500000000000011</v>
      </c>
      <c r="H316" s="8">
        <f t="shared" si="9"/>
        <v>1.9624999999999999</v>
      </c>
    </row>
    <row r="317" spans="1:8" x14ac:dyDescent="0.25">
      <c r="A317">
        <v>77</v>
      </c>
      <c r="B317" s="2">
        <v>44123</v>
      </c>
      <c r="C317" s="4">
        <v>0.37916666666666665</v>
      </c>
      <c r="D317" s="4">
        <v>0.50347222222222221</v>
      </c>
      <c r="E317" s="4">
        <v>0.53819444444444442</v>
      </c>
      <c r="F317" s="4">
        <v>0.68472222222222223</v>
      </c>
      <c r="G317" s="5">
        <f t="shared" si="8"/>
        <v>6.5000000000000009</v>
      </c>
      <c r="H317" s="8">
        <f t="shared" si="9"/>
        <v>0.9784722222222223</v>
      </c>
    </row>
    <row r="318" spans="1:8" x14ac:dyDescent="0.25">
      <c r="A318">
        <v>20</v>
      </c>
      <c r="B318" s="2">
        <v>44124</v>
      </c>
      <c r="C318" s="4">
        <v>0.33819444444444446</v>
      </c>
      <c r="D318" s="4">
        <v>0.50624999999999998</v>
      </c>
      <c r="E318" s="4">
        <v>0.54652777777777783</v>
      </c>
      <c r="F318" s="4">
        <v>0.6972222222222223</v>
      </c>
      <c r="G318" s="5">
        <f t="shared" si="8"/>
        <v>7.6499999999999995</v>
      </c>
      <c r="H318" s="8">
        <f t="shared" si="9"/>
        <v>1.0111111111111111</v>
      </c>
    </row>
    <row r="319" spans="1:8" x14ac:dyDescent="0.25">
      <c r="A319">
        <v>67</v>
      </c>
      <c r="B319" s="2">
        <v>44125</v>
      </c>
      <c r="C319" s="4">
        <v>0.36249999999999999</v>
      </c>
      <c r="D319" s="4">
        <v>0.50486111111111109</v>
      </c>
      <c r="E319" s="4">
        <v>0.57847222222222217</v>
      </c>
      <c r="F319" s="4">
        <v>0.69027777777777777</v>
      </c>
      <c r="G319" s="5">
        <f t="shared" si="8"/>
        <v>6.1000000000000014</v>
      </c>
      <c r="H319" s="8">
        <f t="shared" si="9"/>
        <v>1.9548611111111112</v>
      </c>
    </row>
    <row r="320" spans="1:8" x14ac:dyDescent="0.25">
      <c r="A320">
        <v>53</v>
      </c>
      <c r="B320" s="2">
        <v>44126</v>
      </c>
      <c r="C320" s="4">
        <v>0.3347222222222222</v>
      </c>
      <c r="D320" s="4">
        <v>0.5131944444444444</v>
      </c>
      <c r="E320" s="4">
        <v>0.57013888888888886</v>
      </c>
      <c r="F320" s="4">
        <v>0.68819444444444444</v>
      </c>
      <c r="G320" s="5">
        <f t="shared" si="8"/>
        <v>7.1166666666666671</v>
      </c>
      <c r="H320" s="8">
        <f t="shared" si="9"/>
        <v>0.99097222222222225</v>
      </c>
    </row>
    <row r="321" spans="1:8" x14ac:dyDescent="0.25">
      <c r="A321">
        <v>79</v>
      </c>
      <c r="B321" s="2">
        <v>44125</v>
      </c>
      <c r="C321" s="4">
        <v>0.32222222222222224</v>
      </c>
      <c r="D321" s="4">
        <v>0.5131944444444444</v>
      </c>
      <c r="E321" s="4">
        <v>0.54027777777777775</v>
      </c>
      <c r="F321" s="4">
        <v>0.68680555555555556</v>
      </c>
      <c r="G321" s="5">
        <f t="shared" si="8"/>
        <v>8.1</v>
      </c>
      <c r="H321" s="8">
        <f t="shared" si="9"/>
        <v>3.3333333333333326E-2</v>
      </c>
    </row>
    <row r="322" spans="1:8" x14ac:dyDescent="0.25">
      <c r="A322">
        <v>64</v>
      </c>
      <c r="B322" s="2">
        <v>44123</v>
      </c>
      <c r="C322" s="4">
        <v>0.37638888888888888</v>
      </c>
      <c r="D322" s="4">
        <v>0.50347222222222221</v>
      </c>
      <c r="E322" s="4">
        <v>0.54027777777777775</v>
      </c>
      <c r="F322" s="4">
        <v>0.69236111111111109</v>
      </c>
      <c r="G322" s="5">
        <f t="shared" si="8"/>
        <v>6.7</v>
      </c>
      <c r="H322" s="8">
        <f t="shared" si="9"/>
        <v>0.97916666666666674</v>
      </c>
    </row>
    <row r="323" spans="1:8" x14ac:dyDescent="0.25">
      <c r="A323">
        <v>41</v>
      </c>
      <c r="B323" s="2">
        <v>44126</v>
      </c>
      <c r="C323" s="4">
        <v>0.34930555555555554</v>
      </c>
      <c r="D323" s="4">
        <v>0.50555555555555554</v>
      </c>
      <c r="E323" s="4">
        <v>0.55625000000000002</v>
      </c>
      <c r="F323" s="4">
        <v>0.69652777777777775</v>
      </c>
      <c r="G323" s="5">
        <f t="shared" si="8"/>
        <v>7.1166666666666654</v>
      </c>
      <c r="H323" s="8">
        <f t="shared" si="9"/>
        <v>0.99027777777777781</v>
      </c>
    </row>
    <row r="324" spans="1:8" x14ac:dyDescent="0.25">
      <c r="A324">
        <v>8</v>
      </c>
      <c r="B324" s="2">
        <v>44126</v>
      </c>
      <c r="C324" s="4">
        <v>0.32500000000000001</v>
      </c>
      <c r="D324" s="4">
        <v>0.50069444444444444</v>
      </c>
      <c r="E324" s="4">
        <v>0.57430555555555551</v>
      </c>
      <c r="F324" s="4">
        <v>0.69791666666666663</v>
      </c>
      <c r="G324" s="5">
        <f t="shared" si="8"/>
        <v>7.1833333333333336</v>
      </c>
      <c r="H324" s="8">
        <f t="shared" si="9"/>
        <v>0.99652777777777779</v>
      </c>
    </row>
    <row r="325" spans="1:8" x14ac:dyDescent="0.25">
      <c r="A325">
        <v>39</v>
      </c>
      <c r="B325" s="2">
        <v>44126</v>
      </c>
      <c r="C325" s="4">
        <v>0.35555555555555557</v>
      </c>
      <c r="D325" s="4">
        <v>0.49791666666666662</v>
      </c>
      <c r="E325" s="4">
        <v>0.57361111111111118</v>
      </c>
      <c r="F325" s="4">
        <v>0.69791666666666663</v>
      </c>
      <c r="G325" s="5">
        <f t="shared" si="8"/>
        <v>6.3999999999999959</v>
      </c>
      <c r="H325" s="8">
        <f t="shared" si="9"/>
        <v>1.9666666666666666</v>
      </c>
    </row>
    <row r="326" spans="1:8" x14ac:dyDescent="0.25">
      <c r="A326">
        <v>61</v>
      </c>
      <c r="B326" s="2">
        <v>44125</v>
      </c>
      <c r="C326" s="4">
        <v>0.3263888888888889</v>
      </c>
      <c r="D326" s="4">
        <v>0.51041666666666663</v>
      </c>
      <c r="E326" s="4">
        <v>0.5756944444444444</v>
      </c>
      <c r="F326" s="4">
        <v>0.69027777777777777</v>
      </c>
      <c r="G326" s="5">
        <f t="shared" si="8"/>
        <v>7.166666666666667</v>
      </c>
      <c r="H326" s="8">
        <f t="shared" si="9"/>
        <v>0.99375000000000002</v>
      </c>
    </row>
    <row r="327" spans="1:8" x14ac:dyDescent="0.25">
      <c r="A327">
        <v>73</v>
      </c>
      <c r="B327" s="2">
        <v>44124</v>
      </c>
      <c r="C327" s="4">
        <v>0.3611111111111111</v>
      </c>
      <c r="D327" s="4">
        <v>0.51180555555555551</v>
      </c>
      <c r="E327" s="4">
        <v>0.54861111111111105</v>
      </c>
      <c r="F327" s="4">
        <v>0.70138888888888884</v>
      </c>
      <c r="G327" s="5">
        <f t="shared" si="8"/>
        <v>7.2833333333333332</v>
      </c>
      <c r="H327" s="8">
        <f t="shared" si="9"/>
        <v>1.9861111111111112</v>
      </c>
    </row>
    <row r="328" spans="1:8" x14ac:dyDescent="0.25">
      <c r="A328">
        <v>37</v>
      </c>
      <c r="B328" s="2">
        <v>44123</v>
      </c>
      <c r="C328" s="4">
        <v>0.34375</v>
      </c>
      <c r="D328" s="4">
        <v>0.52013888888888882</v>
      </c>
      <c r="E328" s="4">
        <v>0.57361111111111118</v>
      </c>
      <c r="F328" s="4">
        <v>0.68472222222222223</v>
      </c>
      <c r="G328" s="5">
        <f t="shared" ref="G328:G391" si="10">((D328-C328)*24)+((F328-E328)*24)</f>
        <v>6.8999999999999968</v>
      </c>
      <c r="H328" s="8">
        <f t="shared" ref="H328:H391" si="11">MOD((TIME(8,30,0)-C328),1)+MOD((TIME(13,0,0)-E328),1)</f>
        <v>0.97847222222222219</v>
      </c>
    </row>
    <row r="329" spans="1:8" x14ac:dyDescent="0.25">
      <c r="A329">
        <v>79</v>
      </c>
      <c r="B329" s="2">
        <v>44125</v>
      </c>
      <c r="C329" s="4">
        <v>0.3666666666666667</v>
      </c>
      <c r="D329" s="4">
        <v>0.50208333333333333</v>
      </c>
      <c r="E329" s="4">
        <v>0.56736111111111109</v>
      </c>
      <c r="F329" s="4">
        <v>0.68680555555555556</v>
      </c>
      <c r="G329" s="5">
        <f t="shared" si="10"/>
        <v>6.1166666666666663</v>
      </c>
      <c r="H329" s="8">
        <f t="shared" si="11"/>
        <v>1.9618055555555556</v>
      </c>
    </row>
    <row r="330" spans="1:8" x14ac:dyDescent="0.25">
      <c r="A330">
        <v>71</v>
      </c>
      <c r="B330" s="2">
        <v>44125</v>
      </c>
      <c r="C330" s="4">
        <v>0.36805555555555558</v>
      </c>
      <c r="D330" s="4">
        <v>0.51250000000000007</v>
      </c>
      <c r="E330" s="4">
        <v>0.5708333333333333</v>
      </c>
      <c r="F330" s="4">
        <v>0.70000000000000007</v>
      </c>
      <c r="G330" s="5">
        <f t="shared" si="10"/>
        <v>6.56666666666667</v>
      </c>
      <c r="H330" s="8">
        <f t="shared" si="11"/>
        <v>1.9569444444444444</v>
      </c>
    </row>
    <row r="331" spans="1:8" x14ac:dyDescent="0.25">
      <c r="A331">
        <v>24</v>
      </c>
      <c r="B331" s="2">
        <v>44124</v>
      </c>
      <c r="C331" s="4">
        <v>0.3756944444444445</v>
      </c>
      <c r="D331" s="4">
        <v>0.50416666666666665</v>
      </c>
      <c r="E331" s="4">
        <v>0.54722222222222217</v>
      </c>
      <c r="F331" s="4">
        <v>0.68819444444444444</v>
      </c>
      <c r="G331" s="5">
        <f t="shared" si="10"/>
        <v>6.4666666666666668</v>
      </c>
      <c r="H331" s="8">
        <f t="shared" si="11"/>
        <v>1.9729166666666667</v>
      </c>
    </row>
    <row r="332" spans="1:8" x14ac:dyDescent="0.25">
      <c r="A332">
        <v>20</v>
      </c>
      <c r="B332" s="2">
        <v>44126</v>
      </c>
      <c r="C332" s="4">
        <v>0.3659722222222222</v>
      </c>
      <c r="D332" s="4">
        <v>0.51597222222222217</v>
      </c>
      <c r="E332" s="4">
        <v>0.57847222222222217</v>
      </c>
      <c r="F332" s="4">
        <v>0.6875</v>
      </c>
      <c r="G332" s="5">
        <f t="shared" si="10"/>
        <v>6.2166666666666668</v>
      </c>
      <c r="H332" s="8">
        <f t="shared" si="11"/>
        <v>1.9513888888888888</v>
      </c>
    </row>
    <row r="333" spans="1:8" x14ac:dyDescent="0.25">
      <c r="A333">
        <v>92</v>
      </c>
      <c r="B333" s="2">
        <v>44123</v>
      </c>
      <c r="C333" s="4">
        <v>0.34861111111111115</v>
      </c>
      <c r="D333" s="4">
        <v>0.51458333333333328</v>
      </c>
      <c r="E333" s="4">
        <v>0.54861111111111105</v>
      </c>
      <c r="F333" s="4">
        <v>0.70277777777777783</v>
      </c>
      <c r="G333" s="5">
        <f t="shared" si="10"/>
        <v>7.6833333333333336</v>
      </c>
      <c r="H333" s="8">
        <f t="shared" si="11"/>
        <v>0.99861111111111112</v>
      </c>
    </row>
    <row r="334" spans="1:8" x14ac:dyDescent="0.25">
      <c r="A334">
        <v>53</v>
      </c>
      <c r="B334" s="2">
        <v>44123</v>
      </c>
      <c r="C334" s="4">
        <v>0.31944444444444448</v>
      </c>
      <c r="D334" s="4">
        <v>0.50277777777777777</v>
      </c>
      <c r="E334" s="4">
        <v>0.57361111111111118</v>
      </c>
      <c r="F334" s="4">
        <v>0.68611111111111101</v>
      </c>
      <c r="G334" s="5">
        <f t="shared" si="10"/>
        <v>7.0999999999999943</v>
      </c>
      <c r="H334" s="8">
        <f t="shared" si="11"/>
        <v>1.0027777777777778</v>
      </c>
    </row>
    <row r="335" spans="1:8" x14ac:dyDescent="0.25">
      <c r="A335">
        <v>30</v>
      </c>
      <c r="B335" s="2">
        <v>44123</v>
      </c>
      <c r="C335" s="4">
        <v>0.3743055555555555</v>
      </c>
      <c r="D335" s="4">
        <v>0.50208333333333333</v>
      </c>
      <c r="E335" s="4">
        <v>0.5625</v>
      </c>
      <c r="F335" s="4">
        <v>0.68472222222222223</v>
      </c>
      <c r="G335" s="5">
        <f t="shared" si="10"/>
        <v>6.0000000000000018</v>
      </c>
      <c r="H335" s="8">
        <f t="shared" si="11"/>
        <v>1.9590277777777778</v>
      </c>
    </row>
    <row r="336" spans="1:8" x14ac:dyDescent="0.25">
      <c r="A336">
        <v>80</v>
      </c>
      <c r="B336" s="2">
        <v>44126</v>
      </c>
      <c r="C336" s="4">
        <v>0.34652777777777777</v>
      </c>
      <c r="D336" s="4">
        <v>0.51944444444444449</v>
      </c>
      <c r="E336" s="4">
        <v>0.5756944444444444</v>
      </c>
      <c r="F336" s="4">
        <v>0.69097222222222221</v>
      </c>
      <c r="G336" s="5">
        <f t="shared" si="10"/>
        <v>6.9166666666666687</v>
      </c>
      <c r="H336" s="8">
        <f t="shared" si="11"/>
        <v>0.9736111111111112</v>
      </c>
    </row>
    <row r="337" spans="1:8" x14ac:dyDescent="0.25">
      <c r="A337">
        <v>80</v>
      </c>
      <c r="B337" s="2">
        <v>44123</v>
      </c>
      <c r="C337" s="4">
        <v>0.36041666666666666</v>
      </c>
      <c r="D337" s="4">
        <v>0.49791666666666662</v>
      </c>
      <c r="E337" s="4">
        <v>0.5708333333333333</v>
      </c>
      <c r="F337" s="4">
        <v>0.6875</v>
      </c>
      <c r="G337" s="5">
        <f t="shared" si="10"/>
        <v>6.1</v>
      </c>
      <c r="H337" s="8">
        <f t="shared" si="11"/>
        <v>1.9645833333333333</v>
      </c>
    </row>
    <row r="338" spans="1:8" x14ac:dyDescent="0.25">
      <c r="A338">
        <v>75</v>
      </c>
      <c r="B338" s="2">
        <v>44124</v>
      </c>
      <c r="C338" s="4">
        <v>0.33402777777777781</v>
      </c>
      <c r="D338" s="4">
        <v>0.50208333333333333</v>
      </c>
      <c r="E338" s="4">
        <v>0.55694444444444446</v>
      </c>
      <c r="F338" s="4">
        <v>0.68402777777777779</v>
      </c>
      <c r="G338" s="5">
        <f t="shared" si="10"/>
        <v>7.0833333333333321</v>
      </c>
      <c r="H338" s="8">
        <f t="shared" si="11"/>
        <v>1.004861111111111</v>
      </c>
    </row>
    <row r="339" spans="1:8" x14ac:dyDescent="0.25">
      <c r="A339">
        <v>72</v>
      </c>
      <c r="B339" s="2">
        <v>44126</v>
      </c>
      <c r="C339" s="4">
        <v>0.38055555555555554</v>
      </c>
      <c r="D339" s="4">
        <v>0.51180555555555551</v>
      </c>
      <c r="E339" s="4">
        <v>0.54791666666666672</v>
      </c>
      <c r="F339" s="4">
        <v>0.70208333333333339</v>
      </c>
      <c r="G339" s="5">
        <f t="shared" si="10"/>
        <v>6.85</v>
      </c>
      <c r="H339" s="8">
        <f t="shared" si="11"/>
        <v>1.9673611111111111</v>
      </c>
    </row>
    <row r="340" spans="1:8" x14ac:dyDescent="0.25">
      <c r="A340">
        <v>7</v>
      </c>
      <c r="B340" s="2">
        <v>44123</v>
      </c>
      <c r="C340" s="4">
        <v>0.35138888888888892</v>
      </c>
      <c r="D340" s="4">
        <v>0.49652777777777773</v>
      </c>
      <c r="E340" s="4">
        <v>0.56874999999999998</v>
      </c>
      <c r="F340" s="4">
        <v>0.69444444444444453</v>
      </c>
      <c r="G340" s="5">
        <f t="shared" si="10"/>
        <v>6.5000000000000009</v>
      </c>
      <c r="H340" s="8">
        <f t="shared" si="11"/>
        <v>0.97569444444444442</v>
      </c>
    </row>
    <row r="341" spans="1:8" x14ac:dyDescent="0.25">
      <c r="A341">
        <v>66</v>
      </c>
      <c r="B341" s="2">
        <v>44123</v>
      </c>
      <c r="C341" s="4">
        <v>0.3743055555555555</v>
      </c>
      <c r="D341" s="4">
        <v>0.51666666666666672</v>
      </c>
      <c r="E341" s="4">
        <v>0.57777777777777783</v>
      </c>
      <c r="F341" s="4">
        <v>0.7006944444444444</v>
      </c>
      <c r="G341" s="5">
        <f t="shared" si="10"/>
        <v>6.3666666666666671</v>
      </c>
      <c r="H341" s="8">
        <f t="shared" si="11"/>
        <v>1.9437500000000001</v>
      </c>
    </row>
    <row r="342" spans="1:8" x14ac:dyDescent="0.25">
      <c r="A342">
        <v>38</v>
      </c>
      <c r="B342" s="2">
        <v>44126</v>
      </c>
      <c r="C342" s="4">
        <v>0.3666666666666667</v>
      </c>
      <c r="D342" s="4">
        <v>0.51597222222222217</v>
      </c>
      <c r="E342" s="4">
        <v>0.53819444444444442</v>
      </c>
      <c r="F342" s="4">
        <v>0.69027777777777777</v>
      </c>
      <c r="G342" s="5">
        <f t="shared" si="10"/>
        <v>7.2333333333333316</v>
      </c>
      <c r="H342" s="8">
        <f t="shared" si="11"/>
        <v>0.99097222222222225</v>
      </c>
    </row>
    <row r="343" spans="1:8" x14ac:dyDescent="0.25">
      <c r="A343">
        <v>80</v>
      </c>
      <c r="B343" s="2">
        <v>44126</v>
      </c>
      <c r="C343" s="4">
        <v>0.37291666666666662</v>
      </c>
      <c r="D343" s="4">
        <v>0.51458333333333328</v>
      </c>
      <c r="E343" s="4">
        <v>0.5493055555555556</v>
      </c>
      <c r="F343" s="4">
        <v>0.69305555555555554</v>
      </c>
      <c r="G343" s="5">
        <f t="shared" si="10"/>
        <v>6.8499999999999979</v>
      </c>
      <c r="H343" s="8">
        <f t="shared" si="11"/>
        <v>1.973611111111111</v>
      </c>
    </row>
    <row r="344" spans="1:8" x14ac:dyDescent="0.25">
      <c r="A344">
        <v>17</v>
      </c>
      <c r="B344" s="2">
        <v>44124</v>
      </c>
      <c r="C344" s="4">
        <v>0.31875000000000003</v>
      </c>
      <c r="D344" s="4">
        <v>0.50763888888888886</v>
      </c>
      <c r="E344" s="4">
        <v>0.56944444444444442</v>
      </c>
      <c r="F344" s="4">
        <v>0.70138888888888884</v>
      </c>
      <c r="G344" s="5">
        <f t="shared" si="10"/>
        <v>7.6999999999999975</v>
      </c>
      <c r="H344" s="8">
        <f t="shared" si="11"/>
        <v>1.0076388888888888</v>
      </c>
    </row>
    <row r="345" spans="1:8" x14ac:dyDescent="0.25">
      <c r="A345">
        <v>13</v>
      </c>
      <c r="B345" s="2">
        <v>44125</v>
      </c>
      <c r="C345" s="4">
        <v>0.33194444444444443</v>
      </c>
      <c r="D345" s="4">
        <v>0.50694444444444442</v>
      </c>
      <c r="E345" s="4">
        <v>0.54791666666666672</v>
      </c>
      <c r="F345" s="4">
        <v>0.69236111111111109</v>
      </c>
      <c r="G345" s="5">
        <f t="shared" si="10"/>
        <v>7.6666666666666643</v>
      </c>
      <c r="H345" s="8">
        <f t="shared" si="11"/>
        <v>1.0159722222222221</v>
      </c>
    </row>
    <row r="346" spans="1:8" x14ac:dyDescent="0.25">
      <c r="A346">
        <v>50</v>
      </c>
      <c r="B346" s="2">
        <v>44124</v>
      </c>
      <c r="C346" s="4">
        <v>0.3444444444444445</v>
      </c>
      <c r="D346" s="4">
        <v>0.51874999999999993</v>
      </c>
      <c r="E346" s="4">
        <v>0.54305555555555551</v>
      </c>
      <c r="F346" s="4">
        <v>0.68888888888888899</v>
      </c>
      <c r="G346" s="5">
        <f t="shared" si="10"/>
        <v>7.6833333333333336</v>
      </c>
      <c r="H346" s="8">
        <f t="shared" si="11"/>
        <v>1.0083333333333333</v>
      </c>
    </row>
    <row r="347" spans="1:8" x14ac:dyDescent="0.25">
      <c r="A347">
        <v>80</v>
      </c>
      <c r="B347" s="2">
        <v>44123</v>
      </c>
      <c r="C347" s="4">
        <v>0.36249999999999999</v>
      </c>
      <c r="D347" s="4">
        <v>0.50069444444444444</v>
      </c>
      <c r="E347" s="4">
        <v>0.56736111111111109</v>
      </c>
      <c r="F347" s="4">
        <v>0.68680555555555556</v>
      </c>
      <c r="G347" s="5">
        <f t="shared" si="10"/>
        <v>6.1833333333333336</v>
      </c>
      <c r="H347" s="8">
        <f t="shared" si="11"/>
        <v>1.9659722222222222</v>
      </c>
    </row>
    <row r="348" spans="1:8" x14ac:dyDescent="0.25">
      <c r="A348">
        <v>15</v>
      </c>
      <c r="B348" s="2">
        <v>44126</v>
      </c>
      <c r="C348" s="4">
        <v>0.38611111111111113</v>
      </c>
      <c r="D348" s="4">
        <v>0.51250000000000007</v>
      </c>
      <c r="E348" s="4">
        <v>0.55833333333333335</v>
      </c>
      <c r="F348" s="4">
        <v>0.69166666666666676</v>
      </c>
      <c r="G348" s="5">
        <f t="shared" si="10"/>
        <v>6.2333333333333361</v>
      </c>
      <c r="H348" s="8">
        <f t="shared" si="11"/>
        <v>1.9513888888888888</v>
      </c>
    </row>
    <row r="349" spans="1:8" x14ac:dyDescent="0.25">
      <c r="A349">
        <v>86</v>
      </c>
      <c r="B349" s="2">
        <v>44126</v>
      </c>
      <c r="C349" s="4">
        <v>0.31666666666666665</v>
      </c>
      <c r="D349" s="4">
        <v>0.51111111111111118</v>
      </c>
      <c r="E349" s="4">
        <v>0.57013888888888886</v>
      </c>
      <c r="F349" s="4">
        <v>0.7006944444444444</v>
      </c>
      <c r="G349" s="5">
        <f t="shared" si="10"/>
        <v>7.8000000000000016</v>
      </c>
      <c r="H349" s="8">
        <f t="shared" si="11"/>
        <v>1.0090277777777779</v>
      </c>
    </row>
    <row r="350" spans="1:8" x14ac:dyDescent="0.25">
      <c r="A350">
        <v>83</v>
      </c>
      <c r="B350" s="2">
        <v>44125</v>
      </c>
      <c r="C350" s="4">
        <v>0.37291666666666662</v>
      </c>
      <c r="D350" s="4">
        <v>0.4993055555555555</v>
      </c>
      <c r="E350" s="4">
        <v>0.57777777777777783</v>
      </c>
      <c r="F350" s="4">
        <v>0.69097222222222221</v>
      </c>
      <c r="G350" s="5">
        <f t="shared" si="10"/>
        <v>5.7499999999999982</v>
      </c>
      <c r="H350" s="8">
        <f t="shared" si="11"/>
        <v>1.9451388888888888</v>
      </c>
    </row>
    <row r="351" spans="1:8" x14ac:dyDescent="0.25">
      <c r="A351">
        <v>24</v>
      </c>
      <c r="B351" s="2">
        <v>44123</v>
      </c>
      <c r="C351" s="4">
        <v>0.3125</v>
      </c>
      <c r="D351" s="4">
        <v>0.51874999999999993</v>
      </c>
      <c r="E351" s="4">
        <v>0.57013888888888886</v>
      </c>
      <c r="F351" s="4">
        <v>0.70208333333333339</v>
      </c>
      <c r="G351" s="5">
        <f t="shared" si="10"/>
        <v>8.1166666666666671</v>
      </c>
      <c r="H351" s="8">
        <f t="shared" si="11"/>
        <v>1.0131944444444445</v>
      </c>
    </row>
    <row r="352" spans="1:8" x14ac:dyDescent="0.25">
      <c r="A352">
        <v>48</v>
      </c>
      <c r="B352" s="2">
        <v>44125</v>
      </c>
      <c r="C352" s="4">
        <v>0.31944444444444448</v>
      </c>
      <c r="D352" s="4">
        <v>0.50277777777777777</v>
      </c>
      <c r="E352" s="4">
        <v>0.54097222222222219</v>
      </c>
      <c r="F352" s="4">
        <v>0.70347222222222217</v>
      </c>
      <c r="G352" s="5">
        <f t="shared" si="10"/>
        <v>8.2999999999999972</v>
      </c>
      <c r="H352" s="8">
        <f t="shared" si="11"/>
        <v>3.5416666666666652E-2</v>
      </c>
    </row>
    <row r="353" spans="1:8" x14ac:dyDescent="0.25">
      <c r="A353">
        <v>16</v>
      </c>
      <c r="B353" s="2">
        <v>44125</v>
      </c>
      <c r="C353" s="4">
        <v>0.32500000000000001</v>
      </c>
      <c r="D353" s="4">
        <v>0.50763888888888886</v>
      </c>
      <c r="E353" s="4">
        <v>0.57222222222222219</v>
      </c>
      <c r="F353" s="4">
        <v>0.70138888888888884</v>
      </c>
      <c r="G353" s="5">
        <f t="shared" si="10"/>
        <v>7.4833333333333325</v>
      </c>
      <c r="H353" s="8">
        <f t="shared" si="11"/>
        <v>0.99861111111111112</v>
      </c>
    </row>
    <row r="354" spans="1:8" x14ac:dyDescent="0.25">
      <c r="A354">
        <v>37</v>
      </c>
      <c r="B354" s="2">
        <v>44123</v>
      </c>
      <c r="C354" s="4">
        <v>0.37986111111111115</v>
      </c>
      <c r="D354" s="4">
        <v>0.50277777777777777</v>
      </c>
      <c r="E354" s="4">
        <v>0.55694444444444446</v>
      </c>
      <c r="F354" s="4">
        <v>0.69652777777777775</v>
      </c>
      <c r="G354" s="5">
        <f t="shared" si="10"/>
        <v>6.2999999999999972</v>
      </c>
      <c r="H354" s="8">
        <f t="shared" si="11"/>
        <v>1.9590277777777776</v>
      </c>
    </row>
    <row r="355" spans="1:8" x14ac:dyDescent="0.25">
      <c r="A355">
        <v>25</v>
      </c>
      <c r="B355" s="2">
        <v>44126</v>
      </c>
      <c r="C355" s="4">
        <v>0.35069444444444442</v>
      </c>
      <c r="D355" s="4">
        <v>0.51736111111111105</v>
      </c>
      <c r="E355" s="4">
        <v>0.55138888888888882</v>
      </c>
      <c r="F355" s="4">
        <v>0.69652777777777775</v>
      </c>
      <c r="G355" s="5">
        <f t="shared" si="10"/>
        <v>7.4833333333333334</v>
      </c>
      <c r="H355" s="8">
        <f t="shared" si="11"/>
        <v>0.99375000000000013</v>
      </c>
    </row>
    <row r="356" spans="1:8" x14ac:dyDescent="0.25">
      <c r="A356">
        <v>13</v>
      </c>
      <c r="B356" s="2">
        <v>44123</v>
      </c>
      <c r="C356" s="4">
        <v>0.37013888888888885</v>
      </c>
      <c r="D356" s="4">
        <v>0.51666666666666672</v>
      </c>
      <c r="E356" s="4">
        <v>0.5444444444444444</v>
      </c>
      <c r="F356" s="4">
        <v>0.69097222222222221</v>
      </c>
      <c r="G356" s="5">
        <f t="shared" si="10"/>
        <v>7.0333333333333368</v>
      </c>
      <c r="H356" s="8">
        <f t="shared" si="11"/>
        <v>1.9812500000000002</v>
      </c>
    </row>
    <row r="357" spans="1:8" x14ac:dyDescent="0.25">
      <c r="A357">
        <v>77</v>
      </c>
      <c r="B357" s="2">
        <v>44124</v>
      </c>
      <c r="C357" s="4">
        <v>0.33611111111111108</v>
      </c>
      <c r="D357" s="4">
        <v>0.51874999999999993</v>
      </c>
      <c r="E357" s="4">
        <v>0.55555555555555558</v>
      </c>
      <c r="F357" s="4">
        <v>0.68472222222222223</v>
      </c>
      <c r="G357" s="5">
        <f t="shared" si="10"/>
        <v>7.4833333333333325</v>
      </c>
      <c r="H357" s="8">
        <f t="shared" si="11"/>
        <v>1.0041666666666667</v>
      </c>
    </row>
    <row r="358" spans="1:8" x14ac:dyDescent="0.25">
      <c r="A358">
        <v>2</v>
      </c>
      <c r="B358" s="2">
        <v>44126</v>
      </c>
      <c r="C358" s="4">
        <v>0.33680555555555558</v>
      </c>
      <c r="D358" s="4">
        <v>0.51597222222222217</v>
      </c>
      <c r="E358" s="4">
        <v>0.56874999999999998</v>
      </c>
      <c r="F358" s="4">
        <v>0.6875</v>
      </c>
      <c r="G358" s="5">
        <f t="shared" si="10"/>
        <v>7.1499999999999986</v>
      </c>
      <c r="H358" s="8">
        <f t="shared" si="11"/>
        <v>0.99027777777777781</v>
      </c>
    </row>
    <row r="359" spans="1:8" x14ac:dyDescent="0.25">
      <c r="A359">
        <v>55</v>
      </c>
      <c r="B359" s="2">
        <v>44125</v>
      </c>
      <c r="C359" s="4">
        <v>0.35625000000000001</v>
      </c>
      <c r="D359" s="4">
        <v>0.50694444444444442</v>
      </c>
      <c r="E359" s="4">
        <v>0.57500000000000007</v>
      </c>
      <c r="F359" s="4">
        <v>0.69652777777777775</v>
      </c>
      <c r="G359" s="5">
        <f t="shared" si="10"/>
        <v>6.5333333333333297</v>
      </c>
      <c r="H359" s="8">
        <f t="shared" si="11"/>
        <v>1.9645833333333331</v>
      </c>
    </row>
    <row r="360" spans="1:8" x14ac:dyDescent="0.25">
      <c r="A360">
        <v>92</v>
      </c>
      <c r="B360" s="2">
        <v>44125</v>
      </c>
      <c r="C360" s="4">
        <v>0.3263888888888889</v>
      </c>
      <c r="D360" s="4">
        <v>0.51388888888888895</v>
      </c>
      <c r="E360" s="4">
        <v>0.55347222222222225</v>
      </c>
      <c r="F360" s="4">
        <v>0.69513888888888886</v>
      </c>
      <c r="G360" s="5">
        <f t="shared" si="10"/>
        <v>7.9</v>
      </c>
      <c r="H360" s="8">
        <f t="shared" si="11"/>
        <v>1.0159722222222221</v>
      </c>
    </row>
    <row r="361" spans="1:8" x14ac:dyDescent="0.25">
      <c r="A361">
        <v>92</v>
      </c>
      <c r="B361" s="2">
        <v>44126</v>
      </c>
      <c r="C361" s="4">
        <v>0.36041666666666666</v>
      </c>
      <c r="D361" s="4">
        <v>0.51458333333333328</v>
      </c>
      <c r="E361" s="4">
        <v>0.55069444444444449</v>
      </c>
      <c r="F361" s="4">
        <v>0.68680555555555556</v>
      </c>
      <c r="G361" s="5">
        <f t="shared" si="10"/>
        <v>6.966666666666665</v>
      </c>
      <c r="H361" s="8">
        <f t="shared" si="11"/>
        <v>1.9847222222222221</v>
      </c>
    </row>
    <row r="362" spans="1:8" x14ac:dyDescent="0.25">
      <c r="A362">
        <v>70</v>
      </c>
      <c r="B362" s="2">
        <v>44125</v>
      </c>
      <c r="C362" s="4">
        <v>0.34166666666666662</v>
      </c>
      <c r="D362" s="4">
        <v>0.50208333333333333</v>
      </c>
      <c r="E362" s="4">
        <v>0.55555555555555558</v>
      </c>
      <c r="F362" s="4">
        <v>0.69374999999999998</v>
      </c>
      <c r="G362" s="5">
        <f t="shared" si="10"/>
        <v>7.1666666666666661</v>
      </c>
      <c r="H362" s="8">
        <f t="shared" si="11"/>
        <v>0.99861111111111112</v>
      </c>
    </row>
    <row r="363" spans="1:8" x14ac:dyDescent="0.25">
      <c r="A363">
        <v>38</v>
      </c>
      <c r="B363" s="2">
        <v>44124</v>
      </c>
      <c r="C363" s="4">
        <v>0.33749999999999997</v>
      </c>
      <c r="D363" s="4">
        <v>0.50902777777777775</v>
      </c>
      <c r="E363" s="4">
        <v>0.54999999999999993</v>
      </c>
      <c r="F363" s="4">
        <v>0.70208333333333339</v>
      </c>
      <c r="G363" s="5">
        <f t="shared" si="10"/>
        <v>7.7666666666666702</v>
      </c>
      <c r="H363" s="8">
        <f t="shared" si="11"/>
        <v>1.0083333333333333</v>
      </c>
    </row>
    <row r="364" spans="1:8" x14ac:dyDescent="0.25">
      <c r="A364">
        <v>98</v>
      </c>
      <c r="B364" s="2">
        <v>44125</v>
      </c>
      <c r="C364" s="4">
        <v>0.3833333333333333</v>
      </c>
      <c r="D364" s="4">
        <v>0.51458333333333328</v>
      </c>
      <c r="E364" s="4">
        <v>0.57013888888888886</v>
      </c>
      <c r="F364" s="4">
        <v>0.69930555555555562</v>
      </c>
      <c r="G364" s="5">
        <f t="shared" si="10"/>
        <v>6.2500000000000018</v>
      </c>
      <c r="H364" s="8">
        <f t="shared" si="11"/>
        <v>1.9423611111111112</v>
      </c>
    </row>
    <row r="365" spans="1:8" x14ac:dyDescent="0.25">
      <c r="A365">
        <v>4</v>
      </c>
      <c r="B365" s="2">
        <v>44123</v>
      </c>
      <c r="C365" s="4">
        <v>0.33888888888888885</v>
      </c>
      <c r="D365" s="4">
        <v>0.51388888888888895</v>
      </c>
      <c r="E365" s="4">
        <v>0.57777777777777783</v>
      </c>
      <c r="F365" s="4">
        <v>0.68819444444444444</v>
      </c>
      <c r="G365" s="5">
        <f t="shared" si="10"/>
        <v>6.8500000000000014</v>
      </c>
      <c r="H365" s="8">
        <f t="shared" si="11"/>
        <v>0.97916666666666663</v>
      </c>
    </row>
    <row r="366" spans="1:8" x14ac:dyDescent="0.25">
      <c r="A366">
        <v>50</v>
      </c>
      <c r="B366" s="2">
        <v>44125</v>
      </c>
      <c r="C366" s="4">
        <v>0.35000000000000003</v>
      </c>
      <c r="D366" s="4">
        <v>0.5083333333333333</v>
      </c>
      <c r="E366" s="4">
        <v>0.54861111111111105</v>
      </c>
      <c r="F366" s="4">
        <v>0.69305555555555554</v>
      </c>
      <c r="G366" s="5">
        <f t="shared" si="10"/>
        <v>7.2666666666666657</v>
      </c>
      <c r="H366" s="8">
        <f t="shared" si="11"/>
        <v>0.99722222222222223</v>
      </c>
    </row>
    <row r="367" spans="1:8" x14ac:dyDescent="0.25">
      <c r="A367">
        <v>54</v>
      </c>
      <c r="B367" s="2">
        <v>44123</v>
      </c>
      <c r="C367" s="4">
        <v>0.37986111111111115</v>
      </c>
      <c r="D367" s="4">
        <v>0.50069444444444444</v>
      </c>
      <c r="E367" s="4">
        <v>0.5625</v>
      </c>
      <c r="F367" s="4">
        <v>0.70347222222222217</v>
      </c>
      <c r="G367" s="5">
        <f t="shared" si="10"/>
        <v>6.2833333333333314</v>
      </c>
      <c r="H367" s="8">
        <f t="shared" si="11"/>
        <v>1.9534722222222221</v>
      </c>
    </row>
    <row r="368" spans="1:8" x14ac:dyDescent="0.25">
      <c r="A368">
        <v>88</v>
      </c>
      <c r="B368" s="2">
        <v>44126</v>
      </c>
      <c r="C368" s="4">
        <v>0.35902777777777778</v>
      </c>
      <c r="D368" s="4">
        <v>0.50624999999999998</v>
      </c>
      <c r="E368" s="4">
        <v>0.5395833333333333</v>
      </c>
      <c r="F368" s="4">
        <v>0.68472222222222223</v>
      </c>
      <c r="G368" s="5">
        <f t="shared" si="10"/>
        <v>7.0166666666666675</v>
      </c>
      <c r="H368" s="8">
        <f t="shared" si="11"/>
        <v>0.99722222222222223</v>
      </c>
    </row>
    <row r="369" spans="1:8" x14ac:dyDescent="0.25">
      <c r="A369">
        <v>79</v>
      </c>
      <c r="B369" s="2">
        <v>44124</v>
      </c>
      <c r="C369" s="4">
        <v>0.37222222222222223</v>
      </c>
      <c r="D369" s="4">
        <v>0.51111111111111118</v>
      </c>
      <c r="E369" s="4">
        <v>0.55486111111111114</v>
      </c>
      <c r="F369" s="4">
        <v>0.68611111111111101</v>
      </c>
      <c r="G369" s="5">
        <f t="shared" si="10"/>
        <v>6.4833333333333316</v>
      </c>
      <c r="H369" s="8">
        <f t="shared" si="11"/>
        <v>1.96875</v>
      </c>
    </row>
    <row r="370" spans="1:8" x14ac:dyDescent="0.25">
      <c r="A370">
        <v>20</v>
      </c>
      <c r="B370" s="2">
        <v>44123</v>
      </c>
      <c r="C370" s="4">
        <v>0.3527777777777778</v>
      </c>
      <c r="D370" s="4">
        <v>0.51944444444444449</v>
      </c>
      <c r="E370" s="4">
        <v>0.55069444444444449</v>
      </c>
      <c r="F370" s="4">
        <v>0.69791666666666663</v>
      </c>
      <c r="G370" s="5">
        <f t="shared" si="10"/>
        <v>7.5333333333333314</v>
      </c>
      <c r="H370" s="8">
        <f t="shared" si="11"/>
        <v>0.99236111111111103</v>
      </c>
    </row>
    <row r="371" spans="1:8" x14ac:dyDescent="0.25">
      <c r="A371">
        <v>40</v>
      </c>
      <c r="B371" s="2">
        <v>44124</v>
      </c>
      <c r="C371" s="4">
        <v>0.32708333333333334</v>
      </c>
      <c r="D371" s="4">
        <v>0.49722222222222223</v>
      </c>
      <c r="E371" s="4">
        <v>0.55972222222222223</v>
      </c>
      <c r="F371" s="4">
        <v>0.69513888888888886</v>
      </c>
      <c r="G371" s="5">
        <f t="shared" si="10"/>
        <v>7.333333333333333</v>
      </c>
      <c r="H371" s="8">
        <f t="shared" si="11"/>
        <v>1.0090277777777779</v>
      </c>
    </row>
    <row r="372" spans="1:8" x14ac:dyDescent="0.25">
      <c r="A372">
        <v>99</v>
      </c>
      <c r="B372" s="2">
        <v>44124</v>
      </c>
      <c r="C372" s="4">
        <v>0.32500000000000001</v>
      </c>
      <c r="D372" s="4">
        <v>0.51874999999999993</v>
      </c>
      <c r="E372" s="4">
        <v>0.57222222222222219</v>
      </c>
      <c r="F372" s="4">
        <v>0.68541666666666667</v>
      </c>
      <c r="G372" s="5">
        <f t="shared" si="10"/>
        <v>7.3666666666666663</v>
      </c>
      <c r="H372" s="8">
        <f t="shared" si="11"/>
        <v>0.99861111111111112</v>
      </c>
    </row>
    <row r="373" spans="1:8" x14ac:dyDescent="0.25">
      <c r="A373">
        <v>77</v>
      </c>
      <c r="B373" s="2">
        <v>44123</v>
      </c>
      <c r="C373" s="4">
        <v>0.37638888888888888</v>
      </c>
      <c r="D373" s="4">
        <v>0.50972222222222219</v>
      </c>
      <c r="E373" s="4">
        <v>0.56874999999999998</v>
      </c>
      <c r="F373" s="4">
        <v>0.69027777777777777</v>
      </c>
      <c r="G373" s="5">
        <f t="shared" si="10"/>
        <v>6.1166666666666663</v>
      </c>
      <c r="H373" s="8">
        <f t="shared" si="11"/>
        <v>1.9506944444444445</v>
      </c>
    </row>
    <row r="374" spans="1:8" x14ac:dyDescent="0.25">
      <c r="A374">
        <v>63</v>
      </c>
      <c r="B374" s="2">
        <v>44123</v>
      </c>
      <c r="C374" s="4">
        <v>0.3666666666666667</v>
      </c>
      <c r="D374" s="4">
        <v>0.4993055555555555</v>
      </c>
      <c r="E374" s="4">
        <v>0.5625</v>
      </c>
      <c r="F374" s="4">
        <v>0.69236111111111109</v>
      </c>
      <c r="G374" s="5">
        <f t="shared" si="10"/>
        <v>6.2999999999999972</v>
      </c>
      <c r="H374" s="8">
        <f t="shared" si="11"/>
        <v>1.9666666666666668</v>
      </c>
    </row>
    <row r="375" spans="1:8" x14ac:dyDescent="0.25">
      <c r="A375">
        <v>34</v>
      </c>
      <c r="B375" s="2">
        <v>44123</v>
      </c>
      <c r="C375" s="4">
        <v>0.37361111111111112</v>
      </c>
      <c r="D375" s="4">
        <v>0.5131944444444444</v>
      </c>
      <c r="E375" s="4">
        <v>0.56180555555555556</v>
      </c>
      <c r="F375" s="4">
        <v>0.69930555555555562</v>
      </c>
      <c r="G375" s="5">
        <f t="shared" si="10"/>
        <v>6.65</v>
      </c>
      <c r="H375" s="8">
        <f t="shared" si="11"/>
        <v>1.9604166666666667</v>
      </c>
    </row>
    <row r="376" spans="1:8" x14ac:dyDescent="0.25">
      <c r="A376">
        <v>13</v>
      </c>
      <c r="B376" s="2">
        <v>44125</v>
      </c>
      <c r="C376" s="4">
        <v>0.35972222222222222</v>
      </c>
      <c r="D376" s="4">
        <v>0.5180555555555556</v>
      </c>
      <c r="E376" s="4">
        <v>0.57291666666666663</v>
      </c>
      <c r="F376" s="4">
        <v>0.70208333333333339</v>
      </c>
      <c r="G376" s="5">
        <f t="shared" si="10"/>
        <v>6.9000000000000039</v>
      </c>
      <c r="H376" s="8">
        <f t="shared" si="11"/>
        <v>1.9631944444444445</v>
      </c>
    </row>
    <row r="377" spans="1:8" x14ac:dyDescent="0.25">
      <c r="A377">
        <v>17</v>
      </c>
      <c r="B377" s="2">
        <v>44125</v>
      </c>
      <c r="C377" s="4">
        <v>0.36458333333333331</v>
      </c>
      <c r="D377" s="4">
        <v>0.51111111111111118</v>
      </c>
      <c r="E377" s="4">
        <v>0.54791666666666672</v>
      </c>
      <c r="F377" s="4">
        <v>0.69027777777777777</v>
      </c>
      <c r="G377" s="5">
        <f t="shared" si="10"/>
        <v>6.9333333333333336</v>
      </c>
      <c r="H377" s="8">
        <f t="shared" si="11"/>
        <v>1.9833333333333334</v>
      </c>
    </row>
    <row r="378" spans="1:8" x14ac:dyDescent="0.25">
      <c r="A378">
        <v>99</v>
      </c>
      <c r="B378" s="2">
        <v>44125</v>
      </c>
      <c r="C378" s="4">
        <v>0.35069444444444442</v>
      </c>
      <c r="D378" s="4">
        <v>0.50069444444444444</v>
      </c>
      <c r="E378" s="4">
        <v>0.54305555555555551</v>
      </c>
      <c r="F378" s="4">
        <v>0.69097222222222221</v>
      </c>
      <c r="G378" s="5">
        <f t="shared" si="10"/>
        <v>7.1500000000000012</v>
      </c>
      <c r="H378" s="8">
        <f t="shared" si="11"/>
        <v>1.0020833333333334</v>
      </c>
    </row>
    <row r="379" spans="1:8" x14ac:dyDescent="0.25">
      <c r="A379">
        <v>55</v>
      </c>
      <c r="B379" s="2">
        <v>44125</v>
      </c>
      <c r="C379" s="4">
        <v>0.35486111111111113</v>
      </c>
      <c r="D379" s="4">
        <v>0.50416666666666665</v>
      </c>
      <c r="E379" s="4">
        <v>0.5625</v>
      </c>
      <c r="F379" s="4">
        <v>0.68680555555555556</v>
      </c>
      <c r="G379" s="5">
        <f t="shared" si="10"/>
        <v>6.5666666666666664</v>
      </c>
      <c r="H379" s="8">
        <f t="shared" si="11"/>
        <v>1.9784722222222222</v>
      </c>
    </row>
    <row r="380" spans="1:8" x14ac:dyDescent="0.25">
      <c r="A380">
        <v>39</v>
      </c>
      <c r="B380" s="2">
        <v>44124</v>
      </c>
      <c r="C380" s="4">
        <v>0.36805555555555558</v>
      </c>
      <c r="D380" s="4">
        <v>0.51736111111111105</v>
      </c>
      <c r="E380" s="4">
        <v>0.56041666666666667</v>
      </c>
      <c r="F380" s="4">
        <v>0.69930555555555562</v>
      </c>
      <c r="G380" s="5">
        <f t="shared" si="10"/>
        <v>6.9166666666666661</v>
      </c>
      <c r="H380" s="8">
        <f t="shared" si="11"/>
        <v>1.9673611111111111</v>
      </c>
    </row>
    <row r="381" spans="1:8" x14ac:dyDescent="0.25">
      <c r="A381">
        <v>17</v>
      </c>
      <c r="B381" s="2">
        <v>44124</v>
      </c>
      <c r="C381" s="4">
        <v>0.33680555555555558</v>
      </c>
      <c r="D381" s="4">
        <v>0.49652777777777773</v>
      </c>
      <c r="E381" s="4">
        <v>0.54652777777777783</v>
      </c>
      <c r="F381" s="4">
        <v>0.69791666666666663</v>
      </c>
      <c r="G381" s="5">
        <f t="shared" si="10"/>
        <v>7.4666666666666632</v>
      </c>
      <c r="H381" s="8">
        <f t="shared" si="11"/>
        <v>1.0125</v>
      </c>
    </row>
    <row r="382" spans="1:8" x14ac:dyDescent="0.25">
      <c r="A382">
        <v>32</v>
      </c>
      <c r="B382" s="2">
        <v>44125</v>
      </c>
      <c r="C382" s="4">
        <v>0.32708333333333334</v>
      </c>
      <c r="D382" s="4">
        <v>0.50138888888888888</v>
      </c>
      <c r="E382" s="4">
        <v>0.56805555555555554</v>
      </c>
      <c r="F382" s="4">
        <v>0.68958333333333333</v>
      </c>
      <c r="G382" s="5">
        <f t="shared" si="10"/>
        <v>7.1000000000000005</v>
      </c>
      <c r="H382" s="8">
        <f t="shared" si="11"/>
        <v>1.0006944444444446</v>
      </c>
    </row>
    <row r="383" spans="1:8" x14ac:dyDescent="0.25">
      <c r="A383">
        <v>64</v>
      </c>
      <c r="B383" s="2">
        <v>44123</v>
      </c>
      <c r="C383" s="4">
        <v>0.37083333333333335</v>
      </c>
      <c r="D383" s="4">
        <v>0.49791666666666662</v>
      </c>
      <c r="E383" s="4">
        <v>0.56666666666666665</v>
      </c>
      <c r="F383" s="4">
        <v>0.69097222222222221</v>
      </c>
      <c r="G383" s="5">
        <f t="shared" si="10"/>
        <v>6.0333333333333314</v>
      </c>
      <c r="H383" s="8">
        <f t="shared" si="11"/>
        <v>1.9583333333333335</v>
      </c>
    </row>
    <row r="384" spans="1:8" x14ac:dyDescent="0.25">
      <c r="A384">
        <v>78</v>
      </c>
      <c r="B384" s="2">
        <v>44124</v>
      </c>
      <c r="C384" s="4">
        <v>0.33888888888888885</v>
      </c>
      <c r="D384" s="4">
        <v>0.51597222222222217</v>
      </c>
      <c r="E384" s="4">
        <v>0.54236111111111118</v>
      </c>
      <c r="F384" s="4">
        <v>0.7006944444444444</v>
      </c>
      <c r="G384" s="5">
        <f t="shared" si="10"/>
        <v>8.0499999999999972</v>
      </c>
      <c r="H384" s="8">
        <f t="shared" si="11"/>
        <v>1.0145833333333334</v>
      </c>
    </row>
    <row r="385" spans="1:8" x14ac:dyDescent="0.25">
      <c r="A385">
        <v>20</v>
      </c>
      <c r="B385" s="2">
        <v>44124</v>
      </c>
      <c r="C385" s="4">
        <v>0.31875000000000003</v>
      </c>
      <c r="D385" s="4">
        <v>0.51388888888888895</v>
      </c>
      <c r="E385" s="4">
        <v>0.55902777777777779</v>
      </c>
      <c r="F385" s="4">
        <v>0.69236111111111109</v>
      </c>
      <c r="G385" s="5">
        <f t="shared" si="10"/>
        <v>7.8833333333333329</v>
      </c>
      <c r="H385" s="8">
        <f t="shared" si="11"/>
        <v>1.0180555555555555</v>
      </c>
    </row>
    <row r="386" spans="1:8" x14ac:dyDescent="0.25">
      <c r="A386">
        <v>16</v>
      </c>
      <c r="B386" s="2">
        <v>44123</v>
      </c>
      <c r="C386" s="4">
        <v>0.31805555555555554</v>
      </c>
      <c r="D386" s="4">
        <v>0.51111111111111118</v>
      </c>
      <c r="E386" s="4">
        <v>0.54305555555555551</v>
      </c>
      <c r="F386" s="4">
        <v>0.69305555555555554</v>
      </c>
      <c r="G386" s="5">
        <f t="shared" si="10"/>
        <v>8.2333333333333361</v>
      </c>
      <c r="H386" s="8">
        <f t="shared" si="11"/>
        <v>1.0347222222222223</v>
      </c>
    </row>
    <row r="387" spans="1:8" x14ac:dyDescent="0.25">
      <c r="A387">
        <v>80</v>
      </c>
      <c r="B387" s="2">
        <v>44124</v>
      </c>
      <c r="C387" s="4">
        <v>0.36527777777777781</v>
      </c>
      <c r="D387" s="4">
        <v>0.4993055555555555</v>
      </c>
      <c r="E387" s="4">
        <v>0.54583333333333328</v>
      </c>
      <c r="F387" s="4">
        <v>0.68611111111111101</v>
      </c>
      <c r="G387" s="5">
        <f t="shared" si="10"/>
        <v>6.5833333333333304</v>
      </c>
      <c r="H387" s="8">
        <f t="shared" si="11"/>
        <v>1.9847222222222223</v>
      </c>
    </row>
    <row r="388" spans="1:8" x14ac:dyDescent="0.25">
      <c r="A388">
        <v>31</v>
      </c>
      <c r="B388" s="2">
        <v>44124</v>
      </c>
      <c r="C388" s="4">
        <v>0.36041666666666666</v>
      </c>
      <c r="D388" s="4">
        <v>0.50555555555555554</v>
      </c>
      <c r="E388" s="4">
        <v>0.54861111111111105</v>
      </c>
      <c r="F388" s="4">
        <v>0.70416666666666661</v>
      </c>
      <c r="G388" s="5">
        <f t="shared" si="10"/>
        <v>7.2166666666666668</v>
      </c>
      <c r="H388" s="8">
        <f t="shared" si="11"/>
        <v>1.9868055555555557</v>
      </c>
    </row>
    <row r="389" spans="1:8" x14ac:dyDescent="0.25">
      <c r="A389">
        <v>44</v>
      </c>
      <c r="B389" s="2">
        <v>44123</v>
      </c>
      <c r="C389" s="4">
        <v>0.34791666666666665</v>
      </c>
      <c r="D389" s="4">
        <v>0.5</v>
      </c>
      <c r="E389" s="4">
        <v>0.57708333333333328</v>
      </c>
      <c r="F389" s="4">
        <v>0.69027777777777777</v>
      </c>
      <c r="G389" s="5">
        <f t="shared" si="10"/>
        <v>6.366666666666668</v>
      </c>
      <c r="H389" s="8">
        <f t="shared" si="11"/>
        <v>0.97083333333333344</v>
      </c>
    </row>
    <row r="390" spans="1:8" x14ac:dyDescent="0.25">
      <c r="A390">
        <v>18</v>
      </c>
      <c r="B390" s="2">
        <v>44123</v>
      </c>
      <c r="C390" s="4">
        <v>0.31805555555555554</v>
      </c>
      <c r="D390" s="4">
        <v>0.50416666666666665</v>
      </c>
      <c r="E390" s="4">
        <v>0.56874999999999998</v>
      </c>
      <c r="F390" s="4">
        <v>0.68472222222222223</v>
      </c>
      <c r="G390" s="5">
        <f t="shared" si="10"/>
        <v>7.2500000000000009</v>
      </c>
      <c r="H390" s="8">
        <f t="shared" si="11"/>
        <v>1.0090277777777779</v>
      </c>
    </row>
    <row r="391" spans="1:8" x14ac:dyDescent="0.25">
      <c r="A391">
        <v>71</v>
      </c>
      <c r="B391" s="2">
        <v>44124</v>
      </c>
      <c r="C391" s="4">
        <v>0.34722222222222227</v>
      </c>
      <c r="D391" s="4">
        <v>0.51111111111111118</v>
      </c>
      <c r="E391" s="4">
        <v>0.55486111111111114</v>
      </c>
      <c r="F391" s="4">
        <v>0.69444444444444453</v>
      </c>
      <c r="G391" s="5">
        <f t="shared" si="10"/>
        <v>7.283333333333335</v>
      </c>
      <c r="H391" s="8">
        <f t="shared" si="11"/>
        <v>0.99374999999999991</v>
      </c>
    </row>
    <row r="392" spans="1:8" x14ac:dyDescent="0.25">
      <c r="A392">
        <v>91</v>
      </c>
      <c r="B392" s="2">
        <v>44125</v>
      </c>
      <c r="C392" s="4">
        <v>0.38680555555555557</v>
      </c>
      <c r="D392" s="4">
        <v>0.4993055555555555</v>
      </c>
      <c r="E392" s="4">
        <v>0.55486111111111114</v>
      </c>
      <c r="F392" s="4">
        <v>0.70208333333333339</v>
      </c>
      <c r="G392" s="5">
        <f t="shared" ref="G392:G455" si="12">((D392-C392)*24)+((F392-E392)*24)</f>
        <v>6.2333333333333325</v>
      </c>
      <c r="H392" s="8">
        <f t="shared" ref="H392:H455" si="13">MOD((TIME(8,30,0)-C392),1)+MOD((TIME(13,0,0)-E392),1)</f>
        <v>1.9541666666666666</v>
      </c>
    </row>
    <row r="393" spans="1:8" x14ac:dyDescent="0.25">
      <c r="A393">
        <v>96</v>
      </c>
      <c r="B393" s="2">
        <v>44125</v>
      </c>
      <c r="C393" s="4">
        <v>0.35486111111111113</v>
      </c>
      <c r="D393" s="4">
        <v>0.51874999999999993</v>
      </c>
      <c r="E393" s="4">
        <v>0.55972222222222223</v>
      </c>
      <c r="F393" s="4">
        <v>0.7006944444444444</v>
      </c>
      <c r="G393" s="5">
        <f t="shared" si="12"/>
        <v>7.3166666666666629</v>
      </c>
      <c r="H393" s="8">
        <f t="shared" si="13"/>
        <v>1.98125</v>
      </c>
    </row>
    <row r="394" spans="1:8" x14ac:dyDescent="0.25">
      <c r="A394">
        <v>15</v>
      </c>
      <c r="B394" s="2">
        <v>44124</v>
      </c>
      <c r="C394" s="4">
        <v>0.3520833333333333</v>
      </c>
      <c r="D394" s="4">
        <v>0.51597222222222217</v>
      </c>
      <c r="E394" s="4">
        <v>0.5708333333333333</v>
      </c>
      <c r="F394" s="4">
        <v>0.70416666666666661</v>
      </c>
      <c r="G394" s="5">
        <f t="shared" si="12"/>
        <v>7.133333333333332</v>
      </c>
      <c r="H394" s="8">
        <f t="shared" si="13"/>
        <v>0.97291666666666665</v>
      </c>
    </row>
    <row r="395" spans="1:8" x14ac:dyDescent="0.25">
      <c r="A395">
        <v>41</v>
      </c>
      <c r="B395" s="2">
        <v>44123</v>
      </c>
      <c r="C395" s="4">
        <v>0.36041666666666666</v>
      </c>
      <c r="D395" s="4">
        <v>0.49722222222222223</v>
      </c>
      <c r="E395" s="4">
        <v>0.56666666666666665</v>
      </c>
      <c r="F395" s="4">
        <v>0.69236111111111109</v>
      </c>
      <c r="G395" s="5">
        <f t="shared" si="12"/>
        <v>6.3000000000000007</v>
      </c>
      <c r="H395" s="8">
        <f t="shared" si="13"/>
        <v>1.96875</v>
      </c>
    </row>
    <row r="396" spans="1:8" x14ac:dyDescent="0.25">
      <c r="A396">
        <v>16</v>
      </c>
      <c r="B396" s="2">
        <v>44126</v>
      </c>
      <c r="C396" s="4">
        <v>0.31875000000000003</v>
      </c>
      <c r="D396" s="4">
        <v>0.50416666666666665</v>
      </c>
      <c r="E396" s="4">
        <v>0.57152777777777775</v>
      </c>
      <c r="F396" s="4">
        <v>0.69861111111111107</v>
      </c>
      <c r="G396" s="5">
        <f t="shared" si="12"/>
        <v>7.4999999999999991</v>
      </c>
      <c r="H396" s="8">
        <f t="shared" si="13"/>
        <v>1.0055555555555555</v>
      </c>
    </row>
    <row r="397" spans="1:8" x14ac:dyDescent="0.25">
      <c r="A397">
        <v>72</v>
      </c>
      <c r="B397" s="2">
        <v>44123</v>
      </c>
      <c r="C397" s="4">
        <v>0.35486111111111113</v>
      </c>
      <c r="D397" s="4">
        <v>0.50416666666666665</v>
      </c>
      <c r="E397" s="4">
        <v>0.56527777777777777</v>
      </c>
      <c r="F397" s="4">
        <v>0.6875</v>
      </c>
      <c r="G397" s="5">
        <f t="shared" si="12"/>
        <v>6.5166666666666657</v>
      </c>
      <c r="H397" s="8">
        <f t="shared" si="13"/>
        <v>1.9756944444444444</v>
      </c>
    </row>
    <row r="398" spans="1:8" x14ac:dyDescent="0.25">
      <c r="A398">
        <v>25</v>
      </c>
      <c r="B398" s="2">
        <v>44125</v>
      </c>
      <c r="C398" s="4">
        <v>0.3659722222222222</v>
      </c>
      <c r="D398" s="4">
        <v>0.50763888888888886</v>
      </c>
      <c r="E398" s="4">
        <v>0.56041666666666667</v>
      </c>
      <c r="F398" s="4">
        <v>0.69097222222222221</v>
      </c>
      <c r="G398" s="5">
        <f t="shared" si="12"/>
        <v>6.5333333333333332</v>
      </c>
      <c r="H398" s="8">
        <f t="shared" si="13"/>
        <v>1.9694444444444446</v>
      </c>
    </row>
    <row r="399" spans="1:8" x14ac:dyDescent="0.25">
      <c r="A399">
        <v>66</v>
      </c>
      <c r="B399" s="2">
        <v>44126</v>
      </c>
      <c r="C399" s="4">
        <v>0.37013888888888885</v>
      </c>
      <c r="D399" s="4">
        <v>0.4993055555555555</v>
      </c>
      <c r="E399" s="4">
        <v>0.55972222222222223</v>
      </c>
      <c r="F399" s="4">
        <v>0.70138888888888884</v>
      </c>
      <c r="G399" s="5">
        <f t="shared" si="12"/>
        <v>6.4999999999999982</v>
      </c>
      <c r="H399" s="8">
        <f t="shared" si="13"/>
        <v>1.9659722222222222</v>
      </c>
    </row>
    <row r="400" spans="1:8" x14ac:dyDescent="0.25">
      <c r="A400">
        <v>22</v>
      </c>
      <c r="B400" s="2">
        <v>44123</v>
      </c>
      <c r="C400" s="4">
        <v>0.36527777777777781</v>
      </c>
      <c r="D400" s="4">
        <v>0.50138888888888888</v>
      </c>
      <c r="E400" s="4">
        <v>0.55694444444444446</v>
      </c>
      <c r="F400" s="4">
        <v>0.69791666666666663</v>
      </c>
      <c r="G400" s="5">
        <f t="shared" si="12"/>
        <v>6.6499999999999977</v>
      </c>
      <c r="H400" s="8">
        <f t="shared" si="13"/>
        <v>1.973611111111111</v>
      </c>
    </row>
    <row r="401" spans="1:8" x14ac:dyDescent="0.25">
      <c r="A401">
        <v>41</v>
      </c>
      <c r="B401" s="2">
        <v>44124</v>
      </c>
      <c r="C401" s="4">
        <v>0.38055555555555554</v>
      </c>
      <c r="D401" s="4">
        <v>0.49861111111111112</v>
      </c>
      <c r="E401" s="4">
        <v>0.54999999999999993</v>
      </c>
      <c r="F401" s="4">
        <v>0.69513888888888886</v>
      </c>
      <c r="G401" s="5">
        <f t="shared" si="12"/>
        <v>6.3166666666666682</v>
      </c>
      <c r="H401" s="8">
        <f t="shared" si="13"/>
        <v>1.9652777777777779</v>
      </c>
    </row>
    <row r="402" spans="1:8" x14ac:dyDescent="0.25">
      <c r="A402">
        <v>36</v>
      </c>
      <c r="B402" s="2">
        <v>44124</v>
      </c>
      <c r="C402" s="4">
        <v>0.33194444444444443</v>
      </c>
      <c r="D402" s="4">
        <v>0.50208333333333333</v>
      </c>
      <c r="E402" s="4">
        <v>0.57222222222222219</v>
      </c>
      <c r="F402" s="4">
        <v>0.7006944444444444</v>
      </c>
      <c r="G402" s="5">
        <f t="shared" si="12"/>
        <v>7.166666666666667</v>
      </c>
      <c r="H402" s="8">
        <f t="shared" si="13"/>
        <v>0.9916666666666667</v>
      </c>
    </row>
    <row r="403" spans="1:8" x14ac:dyDescent="0.25">
      <c r="A403">
        <v>69</v>
      </c>
      <c r="B403" s="2">
        <v>44124</v>
      </c>
      <c r="C403" s="4">
        <v>0.33124999999999999</v>
      </c>
      <c r="D403" s="4">
        <v>0.50416666666666665</v>
      </c>
      <c r="E403" s="4">
        <v>0.5625</v>
      </c>
      <c r="F403" s="4">
        <v>0.69861111111111107</v>
      </c>
      <c r="G403" s="5">
        <f t="shared" si="12"/>
        <v>7.4166666666666661</v>
      </c>
      <c r="H403" s="8">
        <f t="shared" si="13"/>
        <v>1.0020833333333332</v>
      </c>
    </row>
    <row r="404" spans="1:8" x14ac:dyDescent="0.25">
      <c r="A404">
        <v>22</v>
      </c>
      <c r="B404" s="2">
        <v>44125</v>
      </c>
      <c r="C404" s="4">
        <v>0.33611111111111108</v>
      </c>
      <c r="D404" s="4">
        <v>0.51527777777777783</v>
      </c>
      <c r="E404" s="4">
        <v>0.55277777777777781</v>
      </c>
      <c r="F404" s="4">
        <v>0.69027777777777777</v>
      </c>
      <c r="G404" s="5">
        <f t="shared" si="12"/>
        <v>7.6000000000000014</v>
      </c>
      <c r="H404" s="8">
        <f t="shared" si="13"/>
        <v>1.0069444444444444</v>
      </c>
    </row>
    <row r="405" spans="1:8" x14ac:dyDescent="0.25">
      <c r="A405">
        <v>53</v>
      </c>
      <c r="B405" s="2">
        <v>44124</v>
      </c>
      <c r="C405" s="4">
        <v>0.37847222222222227</v>
      </c>
      <c r="D405" s="4">
        <v>0.51041666666666663</v>
      </c>
      <c r="E405" s="4">
        <v>0.54652777777777783</v>
      </c>
      <c r="F405" s="4">
        <v>0.7006944444444444</v>
      </c>
      <c r="G405" s="5">
        <f t="shared" si="12"/>
        <v>6.8666666666666618</v>
      </c>
      <c r="H405" s="8">
        <f t="shared" si="13"/>
        <v>1.9708333333333332</v>
      </c>
    </row>
    <row r="406" spans="1:8" x14ac:dyDescent="0.25">
      <c r="A406">
        <v>45</v>
      </c>
      <c r="B406" s="2">
        <v>44124</v>
      </c>
      <c r="C406" s="4">
        <v>0.35138888888888892</v>
      </c>
      <c r="D406" s="4">
        <v>0.50624999999999998</v>
      </c>
      <c r="E406" s="4">
        <v>0.5708333333333333</v>
      </c>
      <c r="F406" s="4">
        <v>0.69791666666666663</v>
      </c>
      <c r="G406" s="5">
        <f t="shared" si="12"/>
        <v>6.7666666666666657</v>
      </c>
      <c r="H406" s="8">
        <f t="shared" si="13"/>
        <v>0.97361111111111109</v>
      </c>
    </row>
    <row r="407" spans="1:8" x14ac:dyDescent="0.25">
      <c r="A407">
        <v>78</v>
      </c>
      <c r="B407" s="2">
        <v>44124</v>
      </c>
      <c r="C407" s="4">
        <v>0.3125</v>
      </c>
      <c r="D407" s="4">
        <v>0.51041666666666663</v>
      </c>
      <c r="E407" s="4">
        <v>0.5625</v>
      </c>
      <c r="F407" s="4">
        <v>0.69791666666666663</v>
      </c>
      <c r="G407" s="5">
        <f t="shared" si="12"/>
        <v>7.9999999999999982</v>
      </c>
      <c r="H407" s="8">
        <f t="shared" si="13"/>
        <v>1.0208333333333333</v>
      </c>
    </row>
    <row r="408" spans="1:8" x14ac:dyDescent="0.25">
      <c r="A408">
        <v>97</v>
      </c>
      <c r="B408" s="2">
        <v>44125</v>
      </c>
      <c r="C408" s="4">
        <v>0.32222222222222224</v>
      </c>
      <c r="D408" s="4">
        <v>0.49791666666666662</v>
      </c>
      <c r="E408" s="4">
        <v>0.54513888888888895</v>
      </c>
      <c r="F408" s="4">
        <v>0.68611111111111101</v>
      </c>
      <c r="G408" s="5">
        <f t="shared" si="12"/>
        <v>7.5999999999999943</v>
      </c>
      <c r="H408" s="8">
        <f t="shared" si="13"/>
        <v>1.0284722222222222</v>
      </c>
    </row>
    <row r="409" spans="1:8" x14ac:dyDescent="0.25">
      <c r="A409">
        <v>43</v>
      </c>
      <c r="B409" s="2">
        <v>44123</v>
      </c>
      <c r="C409" s="4">
        <v>0.32361111111111113</v>
      </c>
      <c r="D409" s="4">
        <v>0.51180555555555551</v>
      </c>
      <c r="E409" s="4">
        <v>0.54583333333333328</v>
      </c>
      <c r="F409" s="4">
        <v>0.68888888888888899</v>
      </c>
      <c r="G409" s="5">
        <f t="shared" si="12"/>
        <v>7.9500000000000028</v>
      </c>
      <c r="H409" s="8">
        <f t="shared" si="13"/>
        <v>1.026388888888889</v>
      </c>
    </row>
    <row r="410" spans="1:8" x14ac:dyDescent="0.25">
      <c r="A410">
        <v>84</v>
      </c>
      <c r="B410" s="2">
        <v>44125</v>
      </c>
      <c r="C410" s="4">
        <v>0.36874999999999997</v>
      </c>
      <c r="D410" s="4">
        <v>0.50208333333333333</v>
      </c>
      <c r="E410" s="4">
        <v>0.53819444444444442</v>
      </c>
      <c r="F410" s="4">
        <v>0.70000000000000007</v>
      </c>
      <c r="G410" s="5">
        <f t="shared" si="12"/>
        <v>7.0833333333333357</v>
      </c>
      <c r="H410" s="8">
        <f t="shared" si="13"/>
        <v>0.98888888888888893</v>
      </c>
    </row>
    <row r="411" spans="1:8" x14ac:dyDescent="0.25">
      <c r="A411">
        <v>78</v>
      </c>
      <c r="B411" s="2">
        <v>44125</v>
      </c>
      <c r="C411" s="4">
        <v>0.32291666666666669</v>
      </c>
      <c r="D411" s="4">
        <v>0.50486111111111109</v>
      </c>
      <c r="E411" s="4">
        <v>0.57500000000000007</v>
      </c>
      <c r="F411" s="4">
        <v>0.69652777777777775</v>
      </c>
      <c r="G411" s="5">
        <f t="shared" si="12"/>
        <v>7.2833333333333297</v>
      </c>
      <c r="H411" s="8">
        <f t="shared" si="13"/>
        <v>0.99791666666666656</v>
      </c>
    </row>
    <row r="412" spans="1:8" x14ac:dyDescent="0.25">
      <c r="A412">
        <v>9</v>
      </c>
      <c r="B412" s="2">
        <v>44124</v>
      </c>
      <c r="C412" s="4">
        <v>0.31805555555555554</v>
      </c>
      <c r="D412" s="4">
        <v>0.50416666666666665</v>
      </c>
      <c r="E412" s="4">
        <v>0.5541666666666667</v>
      </c>
      <c r="F412" s="4">
        <v>0.70138888888888884</v>
      </c>
      <c r="G412" s="5">
        <f t="shared" si="12"/>
        <v>7.9999999999999982</v>
      </c>
      <c r="H412" s="8">
        <f t="shared" si="13"/>
        <v>1.023611111111111</v>
      </c>
    </row>
    <row r="413" spans="1:8" x14ac:dyDescent="0.25">
      <c r="A413">
        <v>32</v>
      </c>
      <c r="B413" s="2">
        <v>44126</v>
      </c>
      <c r="C413" s="4">
        <v>0.34861111111111115</v>
      </c>
      <c r="D413" s="4">
        <v>0.49861111111111112</v>
      </c>
      <c r="E413" s="4">
        <v>0.54652777777777783</v>
      </c>
      <c r="F413" s="4">
        <v>0.6958333333333333</v>
      </c>
      <c r="G413" s="5">
        <f t="shared" si="12"/>
        <v>7.18333333333333</v>
      </c>
      <c r="H413" s="8">
        <f t="shared" si="13"/>
        <v>1.0006944444444443</v>
      </c>
    </row>
    <row r="414" spans="1:8" x14ac:dyDescent="0.25">
      <c r="A414">
        <v>65</v>
      </c>
      <c r="B414" s="2">
        <v>44126</v>
      </c>
      <c r="C414" s="4">
        <v>0.37916666666666665</v>
      </c>
      <c r="D414" s="4">
        <v>0.51458333333333328</v>
      </c>
      <c r="E414" s="4">
        <v>0.56319444444444444</v>
      </c>
      <c r="F414" s="4">
        <v>0.70208333333333339</v>
      </c>
      <c r="G414" s="5">
        <f t="shared" si="12"/>
        <v>6.5833333333333339</v>
      </c>
      <c r="H414" s="8">
        <f t="shared" si="13"/>
        <v>1.9534722222222223</v>
      </c>
    </row>
    <row r="415" spans="1:8" x14ac:dyDescent="0.25">
      <c r="A415">
        <v>97</v>
      </c>
      <c r="B415" s="2">
        <v>44126</v>
      </c>
      <c r="C415" s="4">
        <v>0.33680555555555558</v>
      </c>
      <c r="D415" s="4">
        <v>0.50763888888888886</v>
      </c>
      <c r="E415" s="4">
        <v>0.53888888888888886</v>
      </c>
      <c r="F415" s="4">
        <v>0.69166666666666676</v>
      </c>
      <c r="G415" s="5">
        <f t="shared" si="12"/>
        <v>7.7666666666666684</v>
      </c>
      <c r="H415" s="8">
        <f t="shared" si="13"/>
        <v>2.0138888888888873E-2</v>
      </c>
    </row>
    <row r="416" spans="1:8" x14ac:dyDescent="0.25">
      <c r="A416">
        <v>78</v>
      </c>
      <c r="B416" s="2">
        <v>44124</v>
      </c>
      <c r="C416" s="4">
        <v>0.3520833333333333</v>
      </c>
      <c r="D416" s="4">
        <v>0.49791666666666662</v>
      </c>
      <c r="E416" s="4">
        <v>0.56458333333333333</v>
      </c>
      <c r="F416" s="4">
        <v>0.70347222222222217</v>
      </c>
      <c r="G416" s="5">
        <f t="shared" si="12"/>
        <v>6.8333333333333321</v>
      </c>
      <c r="H416" s="8">
        <f t="shared" si="13"/>
        <v>0.97916666666666674</v>
      </c>
    </row>
    <row r="417" spans="1:8" x14ac:dyDescent="0.25">
      <c r="A417">
        <v>24</v>
      </c>
      <c r="B417" s="2">
        <v>44123</v>
      </c>
      <c r="C417" s="4">
        <v>0.3215277777777778</v>
      </c>
      <c r="D417" s="4">
        <v>0.50208333333333333</v>
      </c>
      <c r="E417" s="4">
        <v>0.56944444444444442</v>
      </c>
      <c r="F417" s="4">
        <v>0.68541666666666667</v>
      </c>
      <c r="G417" s="5">
        <f t="shared" si="12"/>
        <v>7.1166666666666663</v>
      </c>
      <c r="H417" s="8">
        <f t="shared" si="13"/>
        <v>1.004861111111111</v>
      </c>
    </row>
    <row r="418" spans="1:8" x14ac:dyDescent="0.25">
      <c r="A418">
        <v>26</v>
      </c>
      <c r="B418" s="2">
        <v>44124</v>
      </c>
      <c r="C418" s="4">
        <v>0.35416666666666669</v>
      </c>
      <c r="D418" s="4">
        <v>0.50972222222222219</v>
      </c>
      <c r="E418" s="4">
        <v>0.55833333333333335</v>
      </c>
      <c r="F418" s="4">
        <v>0.6958333333333333</v>
      </c>
      <c r="G418" s="5">
        <f t="shared" si="12"/>
        <v>7.0333333333333314</v>
      </c>
      <c r="H418" s="8">
        <f t="shared" si="13"/>
        <v>0.98333333333333328</v>
      </c>
    </row>
    <row r="419" spans="1:8" x14ac:dyDescent="0.25">
      <c r="A419">
        <v>88</v>
      </c>
      <c r="B419" s="2">
        <v>44126</v>
      </c>
      <c r="C419" s="4">
        <v>0.32777777777777778</v>
      </c>
      <c r="D419" s="4">
        <v>0.51597222222222217</v>
      </c>
      <c r="E419" s="4">
        <v>0.54652777777777783</v>
      </c>
      <c r="F419" s="4">
        <v>0.69861111111111107</v>
      </c>
      <c r="G419" s="5">
        <f t="shared" si="12"/>
        <v>8.1666666666666643</v>
      </c>
      <c r="H419" s="8">
        <f t="shared" si="13"/>
        <v>1.0215277777777776</v>
      </c>
    </row>
    <row r="420" spans="1:8" x14ac:dyDescent="0.25">
      <c r="A420">
        <v>94</v>
      </c>
      <c r="B420" s="2">
        <v>44124</v>
      </c>
      <c r="C420" s="4">
        <v>0.35138888888888892</v>
      </c>
      <c r="D420" s="4">
        <v>0.51458333333333328</v>
      </c>
      <c r="E420" s="4">
        <v>0.55277777777777781</v>
      </c>
      <c r="F420" s="4">
        <v>0.70347222222222217</v>
      </c>
      <c r="G420" s="5">
        <f t="shared" si="12"/>
        <v>7.5333333333333297</v>
      </c>
      <c r="H420" s="8">
        <f t="shared" si="13"/>
        <v>0.99166666666666659</v>
      </c>
    </row>
    <row r="421" spans="1:8" x14ac:dyDescent="0.25">
      <c r="A421">
        <v>68</v>
      </c>
      <c r="B421" s="2">
        <v>44126</v>
      </c>
      <c r="C421" s="4">
        <v>0.36180555555555555</v>
      </c>
      <c r="D421" s="4">
        <v>0.51874999999999993</v>
      </c>
      <c r="E421" s="4">
        <v>0.53888888888888886</v>
      </c>
      <c r="F421" s="4">
        <v>0.70277777777777783</v>
      </c>
      <c r="G421" s="5">
        <f t="shared" si="12"/>
        <v>7.7000000000000011</v>
      </c>
      <c r="H421" s="8">
        <f t="shared" si="13"/>
        <v>0.99513888888888891</v>
      </c>
    </row>
    <row r="422" spans="1:8" x14ac:dyDescent="0.25">
      <c r="A422">
        <v>6</v>
      </c>
      <c r="B422" s="2">
        <v>44125</v>
      </c>
      <c r="C422" s="4">
        <v>0.31388888888888888</v>
      </c>
      <c r="D422" s="4">
        <v>0.52013888888888882</v>
      </c>
      <c r="E422" s="4">
        <v>0.55902777777777779</v>
      </c>
      <c r="F422" s="4">
        <v>0.70416666666666661</v>
      </c>
      <c r="G422" s="5">
        <f t="shared" si="12"/>
        <v>8.43333333333333</v>
      </c>
      <c r="H422" s="8">
        <f t="shared" si="13"/>
        <v>1.0229166666666667</v>
      </c>
    </row>
    <row r="423" spans="1:8" x14ac:dyDescent="0.25">
      <c r="A423">
        <v>48</v>
      </c>
      <c r="B423" s="2">
        <v>44125</v>
      </c>
      <c r="C423" s="4">
        <v>0.33333333333333331</v>
      </c>
      <c r="D423" s="4">
        <v>0.51874999999999993</v>
      </c>
      <c r="E423" s="4">
        <v>0.54722222222222217</v>
      </c>
      <c r="F423" s="4">
        <v>0.69444444444444453</v>
      </c>
      <c r="G423" s="5">
        <f t="shared" si="12"/>
        <v>7.9833333333333361</v>
      </c>
      <c r="H423" s="8">
        <f t="shared" si="13"/>
        <v>1.0152777777777779</v>
      </c>
    </row>
    <row r="424" spans="1:8" x14ac:dyDescent="0.25">
      <c r="A424">
        <v>15</v>
      </c>
      <c r="B424" s="2">
        <v>44125</v>
      </c>
      <c r="C424" s="4">
        <v>0.37152777777777773</v>
      </c>
      <c r="D424" s="4">
        <v>0.49652777777777773</v>
      </c>
      <c r="E424" s="4">
        <v>0.54097222222222219</v>
      </c>
      <c r="F424" s="4">
        <v>0.70416666666666661</v>
      </c>
      <c r="G424" s="5">
        <f t="shared" si="12"/>
        <v>6.9166666666666661</v>
      </c>
      <c r="H424" s="8">
        <f t="shared" si="13"/>
        <v>0.98333333333333339</v>
      </c>
    </row>
    <row r="425" spans="1:8" x14ac:dyDescent="0.25">
      <c r="A425">
        <v>7</v>
      </c>
      <c r="B425" s="2">
        <v>44125</v>
      </c>
      <c r="C425" s="4">
        <v>0.35069444444444442</v>
      </c>
      <c r="D425" s="4">
        <v>0.49652777777777773</v>
      </c>
      <c r="E425" s="4">
        <v>0.56041666666666667</v>
      </c>
      <c r="F425" s="4">
        <v>0.6958333333333333</v>
      </c>
      <c r="G425" s="5">
        <f t="shared" si="12"/>
        <v>6.7499999999999982</v>
      </c>
      <c r="H425" s="8">
        <f t="shared" si="13"/>
        <v>0.98472222222222228</v>
      </c>
    </row>
    <row r="426" spans="1:8" x14ac:dyDescent="0.25">
      <c r="A426">
        <v>44</v>
      </c>
      <c r="B426" s="2">
        <v>44124</v>
      </c>
      <c r="C426" s="4">
        <v>0.36527777777777781</v>
      </c>
      <c r="D426" s="4">
        <v>0.50555555555555554</v>
      </c>
      <c r="E426" s="4">
        <v>0.56805555555555554</v>
      </c>
      <c r="F426" s="4">
        <v>0.70138888888888884</v>
      </c>
      <c r="G426" s="5">
        <f t="shared" si="12"/>
        <v>6.5666666666666647</v>
      </c>
      <c r="H426" s="8">
        <f t="shared" si="13"/>
        <v>1.9624999999999999</v>
      </c>
    </row>
    <row r="427" spans="1:8" x14ac:dyDescent="0.25">
      <c r="A427">
        <v>78</v>
      </c>
      <c r="B427" s="2">
        <v>44123</v>
      </c>
      <c r="C427" s="4">
        <v>0.37222222222222223</v>
      </c>
      <c r="D427" s="4">
        <v>0.50555555555555554</v>
      </c>
      <c r="E427" s="4">
        <v>0.57638888888888895</v>
      </c>
      <c r="F427" s="4">
        <v>0.69097222222222221</v>
      </c>
      <c r="G427" s="5">
        <f t="shared" si="12"/>
        <v>5.9499999999999975</v>
      </c>
      <c r="H427" s="8">
        <f t="shared" si="13"/>
        <v>1.9472222222222222</v>
      </c>
    </row>
    <row r="428" spans="1:8" x14ac:dyDescent="0.25">
      <c r="A428">
        <v>73</v>
      </c>
      <c r="B428" s="2">
        <v>44124</v>
      </c>
      <c r="C428" s="4">
        <v>0.3743055555555555</v>
      </c>
      <c r="D428" s="4">
        <v>0.51666666666666672</v>
      </c>
      <c r="E428" s="4">
        <v>0.56874999999999998</v>
      </c>
      <c r="F428" s="4">
        <v>0.68680555555555556</v>
      </c>
      <c r="G428" s="5">
        <f t="shared" si="12"/>
        <v>6.2500000000000036</v>
      </c>
      <c r="H428" s="8">
        <f t="shared" si="13"/>
        <v>1.9527777777777779</v>
      </c>
    </row>
    <row r="429" spans="1:8" x14ac:dyDescent="0.25">
      <c r="A429">
        <v>21</v>
      </c>
      <c r="B429" s="2">
        <v>44126</v>
      </c>
      <c r="C429" s="4">
        <v>0.37847222222222227</v>
      </c>
      <c r="D429" s="4">
        <v>0.51111111111111118</v>
      </c>
      <c r="E429" s="4">
        <v>0.55694444444444446</v>
      </c>
      <c r="F429" s="4">
        <v>0.68680555555555556</v>
      </c>
      <c r="G429" s="5">
        <f t="shared" si="12"/>
        <v>6.3000000000000007</v>
      </c>
      <c r="H429" s="8">
        <f t="shared" si="13"/>
        <v>1.9604166666666667</v>
      </c>
    </row>
    <row r="430" spans="1:8" x14ac:dyDescent="0.25">
      <c r="A430">
        <v>15</v>
      </c>
      <c r="B430" s="2">
        <v>44123</v>
      </c>
      <c r="C430" s="4">
        <v>0.37847222222222227</v>
      </c>
      <c r="D430" s="4">
        <v>0.4993055555555555</v>
      </c>
      <c r="E430" s="4">
        <v>0.55208333333333337</v>
      </c>
      <c r="F430" s="4">
        <v>0.6972222222222223</v>
      </c>
      <c r="G430" s="5">
        <f t="shared" si="12"/>
        <v>6.383333333333332</v>
      </c>
      <c r="H430" s="8">
        <f t="shared" si="13"/>
        <v>1.9652777777777777</v>
      </c>
    </row>
    <row r="431" spans="1:8" x14ac:dyDescent="0.25">
      <c r="A431">
        <v>51</v>
      </c>
      <c r="B431" s="2">
        <v>44125</v>
      </c>
      <c r="C431" s="4">
        <v>0.37152777777777773</v>
      </c>
      <c r="D431" s="4">
        <v>0.50277777777777777</v>
      </c>
      <c r="E431" s="4">
        <v>0.54236111111111118</v>
      </c>
      <c r="F431" s="4">
        <v>0.69930555555555562</v>
      </c>
      <c r="G431" s="5">
        <f t="shared" si="12"/>
        <v>6.9166666666666679</v>
      </c>
      <c r="H431" s="8">
        <f t="shared" si="13"/>
        <v>1.9819444444444443</v>
      </c>
    </row>
    <row r="432" spans="1:8" x14ac:dyDescent="0.25">
      <c r="A432">
        <v>30</v>
      </c>
      <c r="B432" s="2">
        <v>44125</v>
      </c>
      <c r="C432" s="4">
        <v>0.3659722222222222</v>
      </c>
      <c r="D432" s="4">
        <v>0.49652777777777773</v>
      </c>
      <c r="E432" s="4">
        <v>0.5625</v>
      </c>
      <c r="F432" s="4">
        <v>0.6972222222222223</v>
      </c>
      <c r="G432" s="5">
        <f t="shared" si="12"/>
        <v>6.366666666666668</v>
      </c>
      <c r="H432" s="8">
        <f t="shared" si="13"/>
        <v>1.9673611111111111</v>
      </c>
    </row>
    <row r="433" spans="1:8" x14ac:dyDescent="0.25">
      <c r="A433">
        <v>56</v>
      </c>
      <c r="B433" s="2">
        <v>44123</v>
      </c>
      <c r="C433" s="4">
        <v>0.3430555555555555</v>
      </c>
      <c r="D433" s="4">
        <v>0.50138888888888888</v>
      </c>
      <c r="E433" s="4">
        <v>0.54513888888888895</v>
      </c>
      <c r="F433" s="4">
        <v>0.68541666666666667</v>
      </c>
      <c r="G433" s="5">
        <f t="shared" si="12"/>
        <v>7.1666666666666661</v>
      </c>
      <c r="H433" s="8">
        <f t="shared" si="13"/>
        <v>1.0076388888888888</v>
      </c>
    </row>
    <row r="434" spans="1:8" x14ac:dyDescent="0.25">
      <c r="A434">
        <v>72</v>
      </c>
      <c r="B434" s="2">
        <v>44123</v>
      </c>
      <c r="C434" s="4">
        <v>0.33958333333333335</v>
      </c>
      <c r="D434" s="4">
        <v>0.50208333333333333</v>
      </c>
      <c r="E434" s="4">
        <v>0.56666666666666665</v>
      </c>
      <c r="F434" s="4">
        <v>0.69652777777777775</v>
      </c>
      <c r="G434" s="5">
        <f t="shared" si="12"/>
        <v>7.0166666666666657</v>
      </c>
      <c r="H434" s="8">
        <f t="shared" si="13"/>
        <v>0.98958333333333326</v>
      </c>
    </row>
    <row r="435" spans="1:8" x14ac:dyDescent="0.25">
      <c r="A435">
        <v>97</v>
      </c>
      <c r="B435" s="2">
        <v>44123</v>
      </c>
      <c r="C435" s="4">
        <v>0.32847222222222222</v>
      </c>
      <c r="D435" s="4">
        <v>0.51597222222222217</v>
      </c>
      <c r="E435" s="4">
        <v>0.56527777777777777</v>
      </c>
      <c r="F435" s="4">
        <v>0.6958333333333333</v>
      </c>
      <c r="G435" s="5">
        <f t="shared" si="12"/>
        <v>7.6333333333333311</v>
      </c>
      <c r="H435" s="8">
        <f t="shared" si="13"/>
        <v>1.0020833333333332</v>
      </c>
    </row>
    <row r="436" spans="1:8" x14ac:dyDescent="0.25">
      <c r="A436">
        <v>81</v>
      </c>
      <c r="B436" s="2">
        <v>44124</v>
      </c>
      <c r="C436" s="4">
        <v>0.34652777777777777</v>
      </c>
      <c r="D436" s="4">
        <v>0.51458333333333328</v>
      </c>
      <c r="E436" s="4">
        <v>0.55069444444444449</v>
      </c>
      <c r="F436" s="4">
        <v>0.69097222222222221</v>
      </c>
      <c r="G436" s="5">
        <f t="shared" si="12"/>
        <v>7.3999999999999977</v>
      </c>
      <c r="H436" s="8">
        <f t="shared" si="13"/>
        <v>0.99861111111111112</v>
      </c>
    </row>
    <row r="437" spans="1:8" x14ac:dyDescent="0.25">
      <c r="A437">
        <v>92</v>
      </c>
      <c r="B437" s="2">
        <v>44125</v>
      </c>
      <c r="C437" s="4">
        <v>0.35486111111111113</v>
      </c>
      <c r="D437" s="4">
        <v>0.51666666666666672</v>
      </c>
      <c r="E437" s="4">
        <v>0.5444444444444444</v>
      </c>
      <c r="F437" s="4">
        <v>0.68958333333333333</v>
      </c>
      <c r="G437" s="5">
        <f t="shared" si="12"/>
        <v>7.3666666666666689</v>
      </c>
      <c r="H437" s="8">
        <f t="shared" si="13"/>
        <v>1.9965277777777777</v>
      </c>
    </row>
    <row r="438" spans="1:8" x14ac:dyDescent="0.25">
      <c r="A438">
        <v>12</v>
      </c>
      <c r="B438" s="2">
        <v>44124</v>
      </c>
      <c r="C438" s="4">
        <v>0.36180555555555555</v>
      </c>
      <c r="D438" s="4">
        <v>0.51388888888888895</v>
      </c>
      <c r="E438" s="4">
        <v>0.55486111111111114</v>
      </c>
      <c r="F438" s="4">
        <v>0.69166666666666676</v>
      </c>
      <c r="G438" s="5">
        <f t="shared" si="12"/>
        <v>6.9333333333333371</v>
      </c>
      <c r="H438" s="8">
        <f t="shared" si="13"/>
        <v>1.9791666666666665</v>
      </c>
    </row>
    <row r="439" spans="1:8" x14ac:dyDescent="0.25">
      <c r="A439">
        <v>21</v>
      </c>
      <c r="B439" s="2">
        <v>44126</v>
      </c>
      <c r="C439" s="4">
        <v>0.34513888888888888</v>
      </c>
      <c r="D439" s="4">
        <v>0.51666666666666672</v>
      </c>
      <c r="E439" s="4">
        <v>0.56458333333333333</v>
      </c>
      <c r="F439" s="4">
        <v>0.70416666666666661</v>
      </c>
      <c r="G439" s="5">
        <f t="shared" si="12"/>
        <v>7.4666666666666668</v>
      </c>
      <c r="H439" s="8">
        <f t="shared" si="13"/>
        <v>0.98611111111111116</v>
      </c>
    </row>
    <row r="440" spans="1:8" x14ac:dyDescent="0.25">
      <c r="A440">
        <v>99</v>
      </c>
      <c r="B440" s="2">
        <v>44126</v>
      </c>
      <c r="C440" s="4">
        <v>0.3298611111111111</v>
      </c>
      <c r="D440" s="4">
        <v>0.49861111111111112</v>
      </c>
      <c r="E440" s="4">
        <v>0.57500000000000007</v>
      </c>
      <c r="F440" s="4">
        <v>0.70208333333333339</v>
      </c>
      <c r="G440" s="5">
        <f t="shared" si="12"/>
        <v>7.1000000000000005</v>
      </c>
      <c r="H440" s="8">
        <f t="shared" si="13"/>
        <v>0.99097222222222214</v>
      </c>
    </row>
    <row r="441" spans="1:8" x14ac:dyDescent="0.25">
      <c r="A441">
        <v>51</v>
      </c>
      <c r="B441" s="2">
        <v>44125</v>
      </c>
      <c r="C441" s="4">
        <v>0.33402777777777781</v>
      </c>
      <c r="D441" s="4">
        <v>0.51111111111111118</v>
      </c>
      <c r="E441" s="4">
        <v>0.57430555555555551</v>
      </c>
      <c r="F441" s="4">
        <v>0.6972222222222223</v>
      </c>
      <c r="G441" s="5">
        <f t="shared" si="12"/>
        <v>7.2000000000000037</v>
      </c>
      <c r="H441" s="8">
        <f t="shared" si="13"/>
        <v>0.98750000000000004</v>
      </c>
    </row>
    <row r="442" spans="1:8" x14ac:dyDescent="0.25">
      <c r="A442">
        <v>40</v>
      </c>
      <c r="B442" s="2">
        <v>44124</v>
      </c>
      <c r="C442" s="4">
        <v>0.36249999999999999</v>
      </c>
      <c r="D442" s="4">
        <v>0.50486111111111109</v>
      </c>
      <c r="E442" s="4">
        <v>0.57222222222222219</v>
      </c>
      <c r="F442" s="4">
        <v>0.68819444444444444</v>
      </c>
      <c r="G442" s="5">
        <f t="shared" si="12"/>
        <v>6.2000000000000011</v>
      </c>
      <c r="H442" s="8">
        <f t="shared" si="13"/>
        <v>1.9611111111111112</v>
      </c>
    </row>
    <row r="443" spans="1:8" x14ac:dyDescent="0.25">
      <c r="A443">
        <v>89</v>
      </c>
      <c r="B443" s="2">
        <v>44124</v>
      </c>
      <c r="C443" s="4">
        <v>0.3840277777777778</v>
      </c>
      <c r="D443" s="4">
        <v>0.50624999999999998</v>
      </c>
      <c r="E443" s="4">
        <v>0.54791666666666672</v>
      </c>
      <c r="F443" s="4">
        <v>0.6958333333333333</v>
      </c>
      <c r="G443" s="5">
        <f t="shared" si="12"/>
        <v>6.4833333333333307</v>
      </c>
      <c r="H443" s="8">
        <f t="shared" si="13"/>
        <v>1.9638888888888888</v>
      </c>
    </row>
    <row r="444" spans="1:8" x14ac:dyDescent="0.25">
      <c r="A444">
        <v>73</v>
      </c>
      <c r="B444" s="2">
        <v>44124</v>
      </c>
      <c r="C444" s="4">
        <v>0.3215277777777778</v>
      </c>
      <c r="D444" s="4">
        <v>0.50624999999999998</v>
      </c>
      <c r="E444" s="4">
        <v>0.55486111111111114</v>
      </c>
      <c r="F444" s="4">
        <v>0.6972222222222223</v>
      </c>
      <c r="G444" s="5">
        <f t="shared" si="12"/>
        <v>7.85</v>
      </c>
      <c r="H444" s="8">
        <f t="shared" si="13"/>
        <v>1.0194444444444444</v>
      </c>
    </row>
    <row r="445" spans="1:8" x14ac:dyDescent="0.25">
      <c r="A445">
        <v>87</v>
      </c>
      <c r="B445" s="2">
        <v>44126</v>
      </c>
      <c r="C445" s="4">
        <v>0.34791666666666665</v>
      </c>
      <c r="D445" s="4">
        <v>0.49722222222222223</v>
      </c>
      <c r="E445" s="4">
        <v>0.54166666666666663</v>
      </c>
      <c r="F445" s="4">
        <v>0.68819444444444444</v>
      </c>
      <c r="G445" s="5">
        <f t="shared" si="12"/>
        <v>7.1000000000000014</v>
      </c>
      <c r="H445" s="8">
        <f t="shared" si="13"/>
        <v>6.2500000000000333E-3</v>
      </c>
    </row>
    <row r="446" spans="1:8" x14ac:dyDescent="0.25">
      <c r="A446">
        <v>50</v>
      </c>
      <c r="B446" s="2">
        <v>44124</v>
      </c>
      <c r="C446" s="4">
        <v>0.37152777777777773</v>
      </c>
      <c r="D446" s="4">
        <v>0.51874999999999993</v>
      </c>
      <c r="E446" s="4">
        <v>0.56458333333333333</v>
      </c>
      <c r="F446" s="4">
        <v>0.68402777777777779</v>
      </c>
      <c r="G446" s="5">
        <f t="shared" si="12"/>
        <v>6.4</v>
      </c>
      <c r="H446" s="8">
        <f t="shared" si="13"/>
        <v>1.9597222222222221</v>
      </c>
    </row>
    <row r="447" spans="1:8" x14ac:dyDescent="0.25">
      <c r="A447">
        <v>50</v>
      </c>
      <c r="B447" s="2">
        <v>44123</v>
      </c>
      <c r="C447" s="4">
        <v>0.36736111111111108</v>
      </c>
      <c r="D447" s="4">
        <v>0.50416666666666665</v>
      </c>
      <c r="E447" s="4">
        <v>0.54583333333333328</v>
      </c>
      <c r="F447" s="4">
        <v>0.69513888888888886</v>
      </c>
      <c r="G447" s="5">
        <f t="shared" si="12"/>
        <v>6.8666666666666671</v>
      </c>
      <c r="H447" s="8">
        <f t="shared" si="13"/>
        <v>1.9826388888888888</v>
      </c>
    </row>
    <row r="448" spans="1:8" x14ac:dyDescent="0.25">
      <c r="A448">
        <v>21</v>
      </c>
      <c r="B448" s="2">
        <v>44125</v>
      </c>
      <c r="C448" s="4">
        <v>0.3527777777777778</v>
      </c>
      <c r="D448" s="4">
        <v>0.49652777777777773</v>
      </c>
      <c r="E448" s="4">
        <v>0.5756944444444444</v>
      </c>
      <c r="F448" s="4">
        <v>0.68888888888888899</v>
      </c>
      <c r="G448" s="5">
        <f t="shared" si="12"/>
        <v>6.1666666666666687</v>
      </c>
      <c r="H448" s="8">
        <f t="shared" si="13"/>
        <v>0.96736111111111112</v>
      </c>
    </row>
    <row r="449" spans="1:8" x14ac:dyDescent="0.25">
      <c r="A449">
        <v>9</v>
      </c>
      <c r="B449" s="2">
        <v>44124</v>
      </c>
      <c r="C449" s="4">
        <v>0.32291666666666669</v>
      </c>
      <c r="D449" s="4">
        <v>0.50624999999999998</v>
      </c>
      <c r="E449" s="4">
        <v>0.57916666666666672</v>
      </c>
      <c r="F449" s="4">
        <v>0.69444444444444453</v>
      </c>
      <c r="G449" s="5">
        <f t="shared" si="12"/>
        <v>7.1666666666666661</v>
      </c>
      <c r="H449" s="8">
        <f t="shared" si="13"/>
        <v>0.99374999999999991</v>
      </c>
    </row>
    <row r="450" spans="1:8" x14ac:dyDescent="0.25">
      <c r="A450">
        <v>19</v>
      </c>
      <c r="B450" s="2">
        <v>44124</v>
      </c>
      <c r="C450" s="4">
        <v>0.37638888888888888</v>
      </c>
      <c r="D450" s="4">
        <v>0.51111111111111118</v>
      </c>
      <c r="E450" s="4">
        <v>0.56736111111111109</v>
      </c>
      <c r="F450" s="4">
        <v>0.70208333333333339</v>
      </c>
      <c r="G450" s="5">
        <f t="shared" si="12"/>
        <v>6.4666666666666703</v>
      </c>
      <c r="H450" s="8">
        <f t="shared" si="13"/>
        <v>1.9520833333333334</v>
      </c>
    </row>
    <row r="451" spans="1:8" x14ac:dyDescent="0.25">
      <c r="A451">
        <v>93</v>
      </c>
      <c r="B451" s="2">
        <v>44126</v>
      </c>
      <c r="C451" s="4">
        <v>0.35069444444444442</v>
      </c>
      <c r="D451" s="4">
        <v>0.51041666666666663</v>
      </c>
      <c r="E451" s="4">
        <v>0.5444444444444444</v>
      </c>
      <c r="F451" s="4">
        <v>0.68402777777777779</v>
      </c>
      <c r="G451" s="5">
        <f t="shared" si="12"/>
        <v>7.1833333333333345</v>
      </c>
      <c r="H451" s="8">
        <f t="shared" si="13"/>
        <v>1.0006944444444446</v>
      </c>
    </row>
    <row r="452" spans="1:8" x14ac:dyDescent="0.25">
      <c r="A452">
        <v>28</v>
      </c>
      <c r="B452" s="2">
        <v>44126</v>
      </c>
      <c r="C452" s="4">
        <v>0.32361111111111113</v>
      </c>
      <c r="D452" s="4">
        <v>0.5131944444444444</v>
      </c>
      <c r="E452" s="4">
        <v>0.57916666666666672</v>
      </c>
      <c r="F452" s="4">
        <v>0.69166666666666676</v>
      </c>
      <c r="G452" s="5">
        <f t="shared" si="12"/>
        <v>7.25</v>
      </c>
      <c r="H452" s="8">
        <f t="shared" si="13"/>
        <v>0.99305555555555547</v>
      </c>
    </row>
    <row r="453" spans="1:8" x14ac:dyDescent="0.25">
      <c r="A453">
        <v>80</v>
      </c>
      <c r="B453" s="2">
        <v>44125</v>
      </c>
      <c r="C453" s="4">
        <v>0.38125000000000003</v>
      </c>
      <c r="D453" s="4">
        <v>0.49652777777777773</v>
      </c>
      <c r="E453" s="4">
        <v>0.57847222222222217</v>
      </c>
      <c r="F453" s="4">
        <v>0.69444444444444453</v>
      </c>
      <c r="G453" s="5">
        <f t="shared" si="12"/>
        <v>5.5500000000000016</v>
      </c>
      <c r="H453" s="8">
        <f t="shared" si="13"/>
        <v>1.9361111111111111</v>
      </c>
    </row>
    <row r="454" spans="1:8" x14ac:dyDescent="0.25">
      <c r="A454">
        <v>17</v>
      </c>
      <c r="B454" s="2">
        <v>44123</v>
      </c>
      <c r="C454" s="4">
        <v>0.32430555555555557</v>
      </c>
      <c r="D454" s="4">
        <v>0.51874999999999993</v>
      </c>
      <c r="E454" s="4">
        <v>0.55486111111111114</v>
      </c>
      <c r="F454" s="4">
        <v>0.70000000000000007</v>
      </c>
      <c r="G454" s="5">
        <f t="shared" si="12"/>
        <v>8.1499999999999986</v>
      </c>
      <c r="H454" s="8">
        <f t="shared" si="13"/>
        <v>1.0166666666666666</v>
      </c>
    </row>
    <row r="455" spans="1:8" x14ac:dyDescent="0.25">
      <c r="A455">
        <v>4</v>
      </c>
      <c r="B455" s="2">
        <v>44124</v>
      </c>
      <c r="C455" s="4">
        <v>0.34652777777777777</v>
      </c>
      <c r="D455" s="4">
        <v>0.49652777777777773</v>
      </c>
      <c r="E455" s="4">
        <v>0.57430555555555551</v>
      </c>
      <c r="F455" s="4">
        <v>0.6958333333333333</v>
      </c>
      <c r="G455" s="5">
        <f t="shared" si="12"/>
        <v>6.5166666666666657</v>
      </c>
      <c r="H455" s="8">
        <f t="shared" si="13"/>
        <v>0.97500000000000009</v>
      </c>
    </row>
    <row r="456" spans="1:8" x14ac:dyDescent="0.25">
      <c r="A456">
        <v>24</v>
      </c>
      <c r="B456" s="2">
        <v>44125</v>
      </c>
      <c r="C456" s="4">
        <v>0.32777777777777778</v>
      </c>
      <c r="D456" s="4">
        <v>0.49791666666666662</v>
      </c>
      <c r="E456" s="4">
        <v>0.56180555555555556</v>
      </c>
      <c r="F456" s="4">
        <v>0.68472222222222223</v>
      </c>
      <c r="G456" s="5">
        <f t="shared" ref="G456:G519" si="14">((D456-C456)*24)+((F456-E456)*24)</f>
        <v>7.0333333333333323</v>
      </c>
      <c r="H456" s="8">
        <f t="shared" ref="H456:H519" si="15">MOD((TIME(8,30,0)-C456),1)+MOD((TIME(13,0,0)-E456),1)</f>
        <v>1.0062500000000001</v>
      </c>
    </row>
    <row r="457" spans="1:8" x14ac:dyDescent="0.25">
      <c r="A457">
        <v>92</v>
      </c>
      <c r="B457" s="2">
        <v>44124</v>
      </c>
      <c r="C457" s="4">
        <v>0.3840277777777778</v>
      </c>
      <c r="D457" s="4">
        <v>0.50347222222222221</v>
      </c>
      <c r="E457" s="4">
        <v>0.5444444444444444</v>
      </c>
      <c r="F457" s="4">
        <v>0.69791666666666663</v>
      </c>
      <c r="G457" s="5">
        <f t="shared" si="14"/>
        <v>6.5499999999999989</v>
      </c>
      <c r="H457" s="8">
        <f t="shared" si="15"/>
        <v>1.9673611111111111</v>
      </c>
    </row>
    <row r="458" spans="1:8" x14ac:dyDescent="0.25">
      <c r="A458">
        <v>22</v>
      </c>
      <c r="B458" s="2">
        <v>44123</v>
      </c>
      <c r="C458" s="4">
        <v>0.33402777777777781</v>
      </c>
      <c r="D458" s="4">
        <v>0.50763888888888886</v>
      </c>
      <c r="E458" s="4">
        <v>0.55972222222222223</v>
      </c>
      <c r="F458" s="4">
        <v>0.69444444444444453</v>
      </c>
      <c r="G458" s="5">
        <f t="shared" si="14"/>
        <v>7.4</v>
      </c>
      <c r="H458" s="8">
        <f t="shared" si="15"/>
        <v>1.0020833333333332</v>
      </c>
    </row>
    <row r="459" spans="1:8" x14ac:dyDescent="0.25">
      <c r="A459">
        <v>29</v>
      </c>
      <c r="B459" s="2">
        <v>44125</v>
      </c>
      <c r="C459" s="4">
        <v>0.3298611111111111</v>
      </c>
      <c r="D459" s="4">
        <v>0.51250000000000007</v>
      </c>
      <c r="E459" s="4">
        <v>0.57777777777777783</v>
      </c>
      <c r="F459" s="4">
        <v>0.69513888888888886</v>
      </c>
      <c r="G459" s="5">
        <f t="shared" si="14"/>
        <v>7.1999999999999993</v>
      </c>
      <c r="H459" s="8">
        <f t="shared" si="15"/>
        <v>0.98819444444444438</v>
      </c>
    </row>
    <row r="460" spans="1:8" x14ac:dyDescent="0.25">
      <c r="A460">
        <v>45</v>
      </c>
      <c r="B460" s="2">
        <v>44126</v>
      </c>
      <c r="C460" s="4">
        <v>0.36805555555555558</v>
      </c>
      <c r="D460" s="4">
        <v>0.52013888888888882</v>
      </c>
      <c r="E460" s="4">
        <v>0.54236111111111118</v>
      </c>
      <c r="F460" s="4">
        <v>0.70208333333333339</v>
      </c>
      <c r="G460" s="5">
        <f t="shared" si="14"/>
        <v>7.4833333333333307</v>
      </c>
      <c r="H460" s="8">
        <f t="shared" si="15"/>
        <v>1.9854166666666666</v>
      </c>
    </row>
    <row r="461" spans="1:8" x14ac:dyDescent="0.25">
      <c r="A461">
        <v>93</v>
      </c>
      <c r="B461" s="2">
        <v>44123</v>
      </c>
      <c r="C461" s="4">
        <v>0.31597222222222221</v>
      </c>
      <c r="D461" s="4">
        <v>0.50347222222222221</v>
      </c>
      <c r="E461" s="4">
        <v>0.54583333333333328</v>
      </c>
      <c r="F461" s="4">
        <v>0.6958333333333333</v>
      </c>
      <c r="G461" s="5">
        <f t="shared" si="14"/>
        <v>8.1000000000000014</v>
      </c>
      <c r="H461" s="8">
        <f t="shared" si="15"/>
        <v>1.0340277777777778</v>
      </c>
    </row>
    <row r="462" spans="1:8" x14ac:dyDescent="0.25">
      <c r="A462">
        <v>78</v>
      </c>
      <c r="B462" s="2">
        <v>44123</v>
      </c>
      <c r="C462" s="4">
        <v>0.3263888888888889</v>
      </c>
      <c r="D462" s="4">
        <v>0.50208333333333333</v>
      </c>
      <c r="E462" s="4">
        <v>0.56944444444444442</v>
      </c>
      <c r="F462" s="4">
        <v>0.69166666666666676</v>
      </c>
      <c r="G462" s="5">
        <f t="shared" si="14"/>
        <v>7.150000000000003</v>
      </c>
      <c r="H462" s="8">
        <f t="shared" si="15"/>
        <v>1</v>
      </c>
    </row>
    <row r="463" spans="1:8" x14ac:dyDescent="0.25">
      <c r="A463">
        <v>75</v>
      </c>
      <c r="B463" s="2">
        <v>44126</v>
      </c>
      <c r="C463" s="4">
        <v>0.3527777777777778</v>
      </c>
      <c r="D463" s="4">
        <v>0.51388888888888895</v>
      </c>
      <c r="E463" s="4">
        <v>0.57500000000000007</v>
      </c>
      <c r="F463" s="4">
        <v>0.68611111111111101</v>
      </c>
      <c r="G463" s="5">
        <f t="shared" si="14"/>
        <v>6.5333333333333297</v>
      </c>
      <c r="H463" s="8">
        <f t="shared" si="15"/>
        <v>0.96805555555555545</v>
      </c>
    </row>
    <row r="464" spans="1:8" x14ac:dyDescent="0.25">
      <c r="A464">
        <v>53</v>
      </c>
      <c r="B464" s="2">
        <v>44124</v>
      </c>
      <c r="C464" s="4">
        <v>0.31805555555555554</v>
      </c>
      <c r="D464" s="4">
        <v>0.51041666666666663</v>
      </c>
      <c r="E464" s="4">
        <v>0.55625000000000002</v>
      </c>
      <c r="F464" s="4">
        <v>0.68888888888888899</v>
      </c>
      <c r="G464" s="5">
        <f t="shared" si="14"/>
        <v>7.8000000000000016</v>
      </c>
      <c r="H464" s="8">
        <f t="shared" si="15"/>
        <v>1.0215277777777778</v>
      </c>
    </row>
    <row r="465" spans="1:8" x14ac:dyDescent="0.25">
      <c r="A465">
        <v>15</v>
      </c>
      <c r="B465" s="2">
        <v>44124</v>
      </c>
      <c r="C465" s="4">
        <v>0.34097222222222223</v>
      </c>
      <c r="D465" s="4">
        <v>0.50694444444444442</v>
      </c>
      <c r="E465" s="4">
        <v>0.56319444444444444</v>
      </c>
      <c r="F465" s="4">
        <v>0.68888888888888899</v>
      </c>
      <c r="G465" s="5">
        <f t="shared" si="14"/>
        <v>7.0000000000000018</v>
      </c>
      <c r="H465" s="8">
        <f t="shared" si="15"/>
        <v>0.9916666666666667</v>
      </c>
    </row>
    <row r="466" spans="1:8" x14ac:dyDescent="0.25">
      <c r="A466">
        <v>81</v>
      </c>
      <c r="B466" s="2">
        <v>44126</v>
      </c>
      <c r="C466" s="4">
        <v>0.3611111111111111</v>
      </c>
      <c r="D466" s="4">
        <v>0.5083333333333333</v>
      </c>
      <c r="E466" s="4">
        <v>0.5756944444444444</v>
      </c>
      <c r="F466" s="4">
        <v>0.69305555555555554</v>
      </c>
      <c r="G466" s="5">
        <f t="shared" si="14"/>
        <v>6.35</v>
      </c>
      <c r="H466" s="8">
        <f t="shared" si="15"/>
        <v>1.9590277777777778</v>
      </c>
    </row>
    <row r="467" spans="1:8" x14ac:dyDescent="0.25">
      <c r="A467">
        <v>48</v>
      </c>
      <c r="B467" s="2">
        <v>44124</v>
      </c>
      <c r="C467" s="4">
        <v>0.3430555555555555</v>
      </c>
      <c r="D467" s="4">
        <v>0.50763888888888886</v>
      </c>
      <c r="E467" s="4">
        <v>0.5756944444444444</v>
      </c>
      <c r="F467" s="4">
        <v>0.69374999999999998</v>
      </c>
      <c r="G467" s="5">
        <f t="shared" si="14"/>
        <v>6.783333333333335</v>
      </c>
      <c r="H467" s="8">
        <f t="shared" si="15"/>
        <v>0.97708333333333341</v>
      </c>
    </row>
    <row r="468" spans="1:8" x14ac:dyDescent="0.25">
      <c r="A468">
        <v>52</v>
      </c>
      <c r="B468" s="2">
        <v>44123</v>
      </c>
      <c r="C468" s="4">
        <v>0.33819444444444446</v>
      </c>
      <c r="D468" s="4">
        <v>0.50902777777777775</v>
      </c>
      <c r="E468" s="4">
        <v>0.54513888888888895</v>
      </c>
      <c r="F468" s="4">
        <v>0.69305555555555554</v>
      </c>
      <c r="G468" s="5">
        <f t="shared" si="14"/>
        <v>7.6499999999999968</v>
      </c>
      <c r="H468" s="8">
        <f t="shared" si="15"/>
        <v>1.0125</v>
      </c>
    </row>
    <row r="469" spans="1:8" x14ac:dyDescent="0.25">
      <c r="A469">
        <v>23</v>
      </c>
      <c r="B469" s="2">
        <v>44125</v>
      </c>
      <c r="C469" s="4">
        <v>0.31597222222222221</v>
      </c>
      <c r="D469" s="4">
        <v>0.50069444444444444</v>
      </c>
      <c r="E469" s="4">
        <v>0.5625</v>
      </c>
      <c r="F469" s="4">
        <v>0.70347222222222217</v>
      </c>
      <c r="G469" s="5">
        <f t="shared" si="14"/>
        <v>7.8166666666666655</v>
      </c>
      <c r="H469" s="8">
        <f t="shared" si="15"/>
        <v>1.0173611111111112</v>
      </c>
    </row>
    <row r="470" spans="1:8" x14ac:dyDescent="0.25">
      <c r="A470">
        <v>99</v>
      </c>
      <c r="B470" s="2">
        <v>44125</v>
      </c>
      <c r="C470" s="4">
        <v>0.37708333333333338</v>
      </c>
      <c r="D470" s="4">
        <v>0.51041666666666663</v>
      </c>
      <c r="E470" s="4">
        <v>0.57847222222222217</v>
      </c>
      <c r="F470" s="4">
        <v>0.6972222222222223</v>
      </c>
      <c r="G470" s="5">
        <f t="shared" si="14"/>
        <v>6.0500000000000007</v>
      </c>
      <c r="H470" s="8">
        <f t="shared" si="15"/>
        <v>1.9402777777777778</v>
      </c>
    </row>
    <row r="471" spans="1:8" x14ac:dyDescent="0.25">
      <c r="A471">
        <v>13</v>
      </c>
      <c r="B471" s="2">
        <v>44125</v>
      </c>
      <c r="C471" s="4">
        <v>0.37847222222222227</v>
      </c>
      <c r="D471" s="4">
        <v>0.52013888888888882</v>
      </c>
      <c r="E471" s="4">
        <v>0.57708333333333328</v>
      </c>
      <c r="F471" s="4">
        <v>0.68472222222222223</v>
      </c>
      <c r="G471" s="5">
        <f t="shared" si="14"/>
        <v>5.9833333333333325</v>
      </c>
      <c r="H471" s="8">
        <f t="shared" si="15"/>
        <v>1.9402777777777778</v>
      </c>
    </row>
    <row r="472" spans="1:8" x14ac:dyDescent="0.25">
      <c r="A472">
        <v>66</v>
      </c>
      <c r="B472" s="2">
        <v>44125</v>
      </c>
      <c r="C472" s="4">
        <v>0.35555555555555557</v>
      </c>
      <c r="D472" s="4">
        <v>0.50069444444444444</v>
      </c>
      <c r="E472" s="4">
        <v>0.55972222222222223</v>
      </c>
      <c r="F472" s="4">
        <v>0.69236111111111109</v>
      </c>
      <c r="G472" s="5">
        <f t="shared" si="14"/>
        <v>6.6666666666666661</v>
      </c>
      <c r="H472" s="8">
        <f t="shared" si="15"/>
        <v>1.9805555555555556</v>
      </c>
    </row>
    <row r="473" spans="1:8" x14ac:dyDescent="0.25">
      <c r="A473">
        <v>88</v>
      </c>
      <c r="B473" s="2">
        <v>44126</v>
      </c>
      <c r="C473" s="4">
        <v>0.3756944444444445</v>
      </c>
      <c r="D473" s="4">
        <v>0.50347222222222221</v>
      </c>
      <c r="E473" s="4">
        <v>0.53819444444444442</v>
      </c>
      <c r="F473" s="4">
        <v>0.69236111111111109</v>
      </c>
      <c r="G473" s="5">
        <f t="shared" si="14"/>
        <v>6.7666666666666657</v>
      </c>
      <c r="H473" s="8">
        <f t="shared" si="15"/>
        <v>0.9819444444444444</v>
      </c>
    </row>
    <row r="474" spans="1:8" x14ac:dyDescent="0.25">
      <c r="A474">
        <v>91</v>
      </c>
      <c r="B474" s="2">
        <v>44123</v>
      </c>
      <c r="C474" s="4">
        <v>0.37638888888888888</v>
      </c>
      <c r="D474" s="4">
        <v>0.51180555555555551</v>
      </c>
      <c r="E474" s="4">
        <v>0.56944444444444442</v>
      </c>
      <c r="F474" s="4">
        <v>0.70416666666666661</v>
      </c>
      <c r="G474" s="5">
        <f t="shared" si="14"/>
        <v>6.4833333333333316</v>
      </c>
      <c r="H474" s="8">
        <f t="shared" si="15"/>
        <v>1.9500000000000002</v>
      </c>
    </row>
    <row r="475" spans="1:8" x14ac:dyDescent="0.25">
      <c r="A475">
        <v>100</v>
      </c>
      <c r="B475" s="2">
        <v>44125</v>
      </c>
      <c r="C475" s="4">
        <v>0.34027777777777773</v>
      </c>
      <c r="D475" s="4">
        <v>0.50208333333333333</v>
      </c>
      <c r="E475" s="4">
        <v>0.54999999999999993</v>
      </c>
      <c r="F475" s="4">
        <v>0.69791666666666663</v>
      </c>
      <c r="G475" s="5">
        <f t="shared" si="14"/>
        <v>7.4333333333333353</v>
      </c>
      <c r="H475" s="8">
        <f t="shared" si="15"/>
        <v>1.0055555555555555</v>
      </c>
    </row>
    <row r="476" spans="1:8" x14ac:dyDescent="0.25">
      <c r="A476">
        <v>65</v>
      </c>
      <c r="B476" s="2">
        <v>44126</v>
      </c>
      <c r="C476" s="4">
        <v>0.3666666666666667</v>
      </c>
      <c r="D476" s="4">
        <v>0.50972222222222219</v>
      </c>
      <c r="E476" s="4">
        <v>0.56597222222222221</v>
      </c>
      <c r="F476" s="4">
        <v>0.68888888888888899</v>
      </c>
      <c r="G476" s="5">
        <f t="shared" si="14"/>
        <v>6.3833333333333346</v>
      </c>
      <c r="H476" s="8">
        <f t="shared" si="15"/>
        <v>1.9631944444444445</v>
      </c>
    </row>
    <row r="477" spans="1:8" x14ac:dyDescent="0.25">
      <c r="A477">
        <v>22</v>
      </c>
      <c r="B477" s="2">
        <v>44126</v>
      </c>
      <c r="C477" s="4">
        <v>0.31666666666666665</v>
      </c>
      <c r="D477" s="4">
        <v>0.51597222222222217</v>
      </c>
      <c r="E477" s="4">
        <v>0.55069444444444449</v>
      </c>
      <c r="F477" s="4">
        <v>0.68819444444444444</v>
      </c>
      <c r="G477" s="5">
        <f t="shared" si="14"/>
        <v>8.0833333333333321</v>
      </c>
      <c r="H477" s="8">
        <f t="shared" si="15"/>
        <v>1.0284722222222222</v>
      </c>
    </row>
    <row r="478" spans="1:8" x14ac:dyDescent="0.25">
      <c r="A478">
        <v>42</v>
      </c>
      <c r="B478" s="2">
        <v>44123</v>
      </c>
      <c r="C478" s="4">
        <v>0.36249999999999999</v>
      </c>
      <c r="D478" s="4">
        <v>0.51041666666666663</v>
      </c>
      <c r="E478" s="4">
        <v>0.55763888888888891</v>
      </c>
      <c r="F478" s="4">
        <v>0.69513888888888886</v>
      </c>
      <c r="G478" s="5">
        <f t="shared" si="14"/>
        <v>6.8499999999999979</v>
      </c>
      <c r="H478" s="8">
        <f t="shared" si="15"/>
        <v>1.9756944444444444</v>
      </c>
    </row>
    <row r="479" spans="1:8" x14ac:dyDescent="0.25">
      <c r="A479">
        <v>65</v>
      </c>
      <c r="B479" s="2">
        <v>44126</v>
      </c>
      <c r="C479" s="4">
        <v>0.35625000000000001</v>
      </c>
      <c r="D479" s="4">
        <v>0.51736111111111105</v>
      </c>
      <c r="E479" s="4">
        <v>0.57638888888888895</v>
      </c>
      <c r="F479" s="4">
        <v>0.70208333333333339</v>
      </c>
      <c r="G479" s="5">
        <f t="shared" si="14"/>
        <v>6.8833333333333311</v>
      </c>
      <c r="H479" s="8">
        <f t="shared" si="15"/>
        <v>1.9631944444444445</v>
      </c>
    </row>
    <row r="480" spans="1:8" x14ac:dyDescent="0.25">
      <c r="A480">
        <v>36</v>
      </c>
      <c r="B480" s="2">
        <v>44124</v>
      </c>
      <c r="C480" s="4">
        <v>0.31805555555555554</v>
      </c>
      <c r="D480" s="4">
        <v>0.5131944444444444</v>
      </c>
      <c r="E480" s="4">
        <v>0.5395833333333333</v>
      </c>
      <c r="F480" s="4">
        <v>0.70277777777777783</v>
      </c>
      <c r="G480" s="5">
        <f t="shared" si="14"/>
        <v>8.6000000000000014</v>
      </c>
      <c r="H480" s="8">
        <f t="shared" si="15"/>
        <v>3.8194444444444475E-2</v>
      </c>
    </row>
    <row r="481" spans="1:8" x14ac:dyDescent="0.25">
      <c r="A481">
        <v>75</v>
      </c>
      <c r="B481" s="2">
        <v>44123</v>
      </c>
      <c r="C481" s="4">
        <v>0.31597222222222221</v>
      </c>
      <c r="D481" s="4">
        <v>0.4993055555555555</v>
      </c>
      <c r="E481" s="4">
        <v>0.5395833333333333</v>
      </c>
      <c r="F481" s="4">
        <v>0.6972222222222223</v>
      </c>
      <c r="G481" s="5">
        <f t="shared" si="14"/>
        <v>8.1833333333333336</v>
      </c>
      <c r="H481" s="8">
        <f t="shared" si="15"/>
        <v>4.0277777777777801E-2</v>
      </c>
    </row>
    <row r="482" spans="1:8" x14ac:dyDescent="0.25">
      <c r="A482">
        <v>13</v>
      </c>
      <c r="B482" s="2">
        <v>44126</v>
      </c>
      <c r="C482" s="4">
        <v>0.37708333333333338</v>
      </c>
      <c r="D482" s="4">
        <v>0.50972222222222219</v>
      </c>
      <c r="E482" s="4">
        <v>0.54652777777777783</v>
      </c>
      <c r="F482" s="4">
        <v>0.69305555555555554</v>
      </c>
      <c r="G482" s="5">
        <f t="shared" si="14"/>
        <v>6.6999999999999957</v>
      </c>
      <c r="H482" s="8">
        <f t="shared" si="15"/>
        <v>1.9722222222222221</v>
      </c>
    </row>
    <row r="483" spans="1:8" x14ac:dyDescent="0.25">
      <c r="A483">
        <v>65</v>
      </c>
      <c r="B483" s="2">
        <v>44126</v>
      </c>
      <c r="C483" s="4">
        <v>0.35625000000000001</v>
      </c>
      <c r="D483" s="4">
        <v>0.50624999999999998</v>
      </c>
      <c r="E483" s="4">
        <v>0.55763888888888891</v>
      </c>
      <c r="F483" s="4">
        <v>0.69374999999999998</v>
      </c>
      <c r="G483" s="5">
        <f t="shared" si="14"/>
        <v>6.8666666666666654</v>
      </c>
      <c r="H483" s="8">
        <f t="shared" si="15"/>
        <v>1.9819444444444443</v>
      </c>
    </row>
    <row r="484" spans="1:8" x14ac:dyDescent="0.25">
      <c r="A484">
        <v>5</v>
      </c>
      <c r="B484" s="2">
        <v>44126</v>
      </c>
      <c r="C484" s="4">
        <v>0.32847222222222222</v>
      </c>
      <c r="D484" s="4">
        <v>0.5131944444444444</v>
      </c>
      <c r="E484" s="4">
        <v>0.55347222222222225</v>
      </c>
      <c r="F484" s="4">
        <v>0.69166666666666676</v>
      </c>
      <c r="G484" s="5">
        <f t="shared" si="14"/>
        <v>7.75</v>
      </c>
      <c r="H484" s="8">
        <f t="shared" si="15"/>
        <v>1.0138888888888888</v>
      </c>
    </row>
    <row r="485" spans="1:8" x14ac:dyDescent="0.25">
      <c r="A485">
        <v>44</v>
      </c>
      <c r="B485" s="2">
        <v>44123</v>
      </c>
      <c r="C485" s="4">
        <v>0.3756944444444445</v>
      </c>
      <c r="D485" s="4">
        <v>0.4993055555555555</v>
      </c>
      <c r="E485" s="4">
        <v>0.54583333333333328</v>
      </c>
      <c r="F485" s="4">
        <v>0.70416666666666661</v>
      </c>
      <c r="G485" s="5">
        <f t="shared" si="14"/>
        <v>6.7666666666666639</v>
      </c>
      <c r="H485" s="8">
        <f t="shared" si="15"/>
        <v>1.9743055555555555</v>
      </c>
    </row>
    <row r="486" spans="1:8" x14ac:dyDescent="0.25">
      <c r="A486">
        <v>62</v>
      </c>
      <c r="B486" s="2">
        <v>44125</v>
      </c>
      <c r="C486" s="4">
        <v>0.3215277777777778</v>
      </c>
      <c r="D486" s="4">
        <v>0.49861111111111112</v>
      </c>
      <c r="E486" s="4">
        <v>0.5541666666666667</v>
      </c>
      <c r="F486" s="4">
        <v>0.70000000000000007</v>
      </c>
      <c r="G486" s="5">
        <f t="shared" si="14"/>
        <v>7.7500000000000009</v>
      </c>
      <c r="H486" s="8">
        <f t="shared" si="15"/>
        <v>1.0201388888888889</v>
      </c>
    </row>
    <row r="487" spans="1:8" x14ac:dyDescent="0.25">
      <c r="A487">
        <v>86</v>
      </c>
      <c r="B487" s="2">
        <v>44124</v>
      </c>
      <c r="C487" s="4">
        <v>0.33680555555555558</v>
      </c>
      <c r="D487" s="4">
        <v>0.51597222222222217</v>
      </c>
      <c r="E487" s="4">
        <v>0.54722222222222217</v>
      </c>
      <c r="F487" s="4">
        <v>0.69652777777777775</v>
      </c>
      <c r="G487" s="5">
        <f t="shared" si="14"/>
        <v>7.883333333333332</v>
      </c>
      <c r="H487" s="8">
        <f t="shared" si="15"/>
        <v>1.0118055555555556</v>
      </c>
    </row>
    <row r="488" spans="1:8" x14ac:dyDescent="0.25">
      <c r="A488">
        <v>74</v>
      </c>
      <c r="B488" s="2">
        <v>44123</v>
      </c>
      <c r="C488" s="4">
        <v>0.35138888888888892</v>
      </c>
      <c r="D488" s="4">
        <v>0.50138888888888888</v>
      </c>
      <c r="E488" s="4">
        <v>0.56874999999999998</v>
      </c>
      <c r="F488" s="4">
        <v>0.69930555555555562</v>
      </c>
      <c r="G488" s="5">
        <f t="shared" si="14"/>
        <v>6.7333333333333343</v>
      </c>
      <c r="H488" s="8">
        <f t="shared" si="15"/>
        <v>0.97569444444444442</v>
      </c>
    </row>
    <row r="489" spans="1:8" x14ac:dyDescent="0.25">
      <c r="A489">
        <v>20</v>
      </c>
      <c r="B489" s="2">
        <v>44126</v>
      </c>
      <c r="C489" s="4">
        <v>0.34791666666666665</v>
      </c>
      <c r="D489" s="4">
        <v>0.51388888888888895</v>
      </c>
      <c r="E489" s="4">
        <v>0.54652777777777783</v>
      </c>
      <c r="F489" s="4">
        <v>0.69236111111111109</v>
      </c>
      <c r="G489" s="5">
        <f t="shared" si="14"/>
        <v>7.4833333333333334</v>
      </c>
      <c r="H489" s="8">
        <f t="shared" si="15"/>
        <v>1.0013888888888889</v>
      </c>
    </row>
    <row r="490" spans="1:8" x14ac:dyDescent="0.25">
      <c r="A490">
        <v>68</v>
      </c>
      <c r="B490" s="2">
        <v>44124</v>
      </c>
      <c r="C490" s="4">
        <v>0.3659722222222222</v>
      </c>
      <c r="D490" s="4">
        <v>0.51041666666666663</v>
      </c>
      <c r="E490" s="4">
        <v>0.54861111111111105</v>
      </c>
      <c r="F490" s="4">
        <v>0.69513888888888886</v>
      </c>
      <c r="G490" s="5">
        <f t="shared" si="14"/>
        <v>6.9833333333333343</v>
      </c>
      <c r="H490" s="8">
        <f t="shared" si="15"/>
        <v>1.9812500000000002</v>
      </c>
    </row>
    <row r="491" spans="1:8" x14ac:dyDescent="0.25">
      <c r="A491">
        <v>48</v>
      </c>
      <c r="B491" s="2">
        <v>44126</v>
      </c>
      <c r="C491" s="4">
        <v>0.34791666666666665</v>
      </c>
      <c r="D491" s="4">
        <v>0.50347222222222221</v>
      </c>
      <c r="E491" s="4">
        <v>0.57430555555555551</v>
      </c>
      <c r="F491" s="4">
        <v>0.69374999999999998</v>
      </c>
      <c r="G491" s="5">
        <f t="shared" si="14"/>
        <v>6.6000000000000005</v>
      </c>
      <c r="H491" s="8">
        <f t="shared" si="15"/>
        <v>0.9736111111111112</v>
      </c>
    </row>
    <row r="492" spans="1:8" x14ac:dyDescent="0.25">
      <c r="A492">
        <v>93</v>
      </c>
      <c r="B492" s="2">
        <v>44124</v>
      </c>
      <c r="C492" s="4">
        <v>0.32500000000000001</v>
      </c>
      <c r="D492" s="4">
        <v>0.49722222222222223</v>
      </c>
      <c r="E492" s="4">
        <v>0.56736111111111109</v>
      </c>
      <c r="F492" s="4">
        <v>0.70277777777777783</v>
      </c>
      <c r="G492" s="5">
        <f t="shared" si="14"/>
        <v>7.3833333333333346</v>
      </c>
      <c r="H492" s="8">
        <f t="shared" si="15"/>
        <v>1.0034722222222223</v>
      </c>
    </row>
    <row r="493" spans="1:8" x14ac:dyDescent="0.25">
      <c r="A493">
        <v>70</v>
      </c>
      <c r="B493" s="2">
        <v>44123</v>
      </c>
      <c r="C493" s="4">
        <v>0.38472222222222219</v>
      </c>
      <c r="D493" s="4">
        <v>0.51250000000000007</v>
      </c>
      <c r="E493" s="4">
        <v>0.56597222222222221</v>
      </c>
      <c r="F493" s="4">
        <v>0.68541666666666667</v>
      </c>
      <c r="G493" s="5">
        <f t="shared" si="14"/>
        <v>5.9333333333333362</v>
      </c>
      <c r="H493" s="8">
        <f t="shared" si="15"/>
        <v>1.945138888888889</v>
      </c>
    </row>
    <row r="494" spans="1:8" x14ac:dyDescent="0.25">
      <c r="A494">
        <v>22</v>
      </c>
      <c r="B494" s="2">
        <v>44125</v>
      </c>
      <c r="C494" s="4">
        <v>0.36458333333333331</v>
      </c>
      <c r="D494" s="4">
        <v>0.51041666666666663</v>
      </c>
      <c r="E494" s="4">
        <v>0.57638888888888895</v>
      </c>
      <c r="F494" s="4">
        <v>0.69374999999999998</v>
      </c>
      <c r="G494" s="5">
        <f t="shared" si="14"/>
        <v>6.3166666666666647</v>
      </c>
      <c r="H494" s="8">
        <f t="shared" si="15"/>
        <v>1.9548611111111112</v>
      </c>
    </row>
    <row r="495" spans="1:8" x14ac:dyDescent="0.25">
      <c r="A495">
        <v>75</v>
      </c>
      <c r="B495" s="2">
        <v>44125</v>
      </c>
      <c r="C495" s="4">
        <v>0.31944444444444448</v>
      </c>
      <c r="D495" s="4">
        <v>0.5180555555555556</v>
      </c>
      <c r="E495" s="4">
        <v>0.57152777777777775</v>
      </c>
      <c r="F495" s="4">
        <v>0.69444444444444453</v>
      </c>
      <c r="G495" s="5">
        <f t="shared" si="14"/>
        <v>7.7166666666666703</v>
      </c>
      <c r="H495" s="8">
        <f t="shared" si="15"/>
        <v>1.004861111111111</v>
      </c>
    </row>
    <row r="496" spans="1:8" x14ac:dyDescent="0.25">
      <c r="A496">
        <v>78</v>
      </c>
      <c r="B496" s="2">
        <v>44126</v>
      </c>
      <c r="C496" s="4">
        <v>0.38680555555555557</v>
      </c>
      <c r="D496" s="4">
        <v>0.50972222222222219</v>
      </c>
      <c r="E496" s="4">
        <v>0.56388888888888888</v>
      </c>
      <c r="F496" s="4">
        <v>0.69444444444444453</v>
      </c>
      <c r="G496" s="5">
        <f t="shared" si="14"/>
        <v>6.0833333333333339</v>
      </c>
      <c r="H496" s="8">
        <f t="shared" si="15"/>
        <v>1.9451388888888888</v>
      </c>
    </row>
    <row r="497" spans="1:8" x14ac:dyDescent="0.25">
      <c r="A497">
        <v>13</v>
      </c>
      <c r="B497" s="2">
        <v>44126</v>
      </c>
      <c r="C497" s="4">
        <v>0.36944444444444446</v>
      </c>
      <c r="D497" s="4">
        <v>0.51111111111111118</v>
      </c>
      <c r="E497" s="4">
        <v>0.5625</v>
      </c>
      <c r="F497" s="4">
        <v>0.68611111111111101</v>
      </c>
      <c r="G497" s="5">
        <f t="shared" si="14"/>
        <v>6.3666666666666654</v>
      </c>
      <c r="H497" s="8">
        <f t="shared" si="15"/>
        <v>1.963888888888889</v>
      </c>
    </row>
    <row r="498" spans="1:8" x14ac:dyDescent="0.25">
      <c r="A498">
        <v>39</v>
      </c>
      <c r="B498" s="2">
        <v>44125</v>
      </c>
      <c r="C498" s="4">
        <v>0.375</v>
      </c>
      <c r="D498" s="4">
        <v>0.51041666666666663</v>
      </c>
      <c r="E498" s="4">
        <v>0.56736111111111109</v>
      </c>
      <c r="F498" s="4">
        <v>0.69305555555555554</v>
      </c>
      <c r="G498" s="5">
        <f t="shared" si="14"/>
        <v>6.2666666666666657</v>
      </c>
      <c r="H498" s="8">
        <f t="shared" si="15"/>
        <v>1.9534722222222223</v>
      </c>
    </row>
    <row r="499" spans="1:8" x14ac:dyDescent="0.25">
      <c r="A499">
        <v>94</v>
      </c>
      <c r="B499" s="2">
        <v>44123</v>
      </c>
      <c r="C499" s="4">
        <v>0.38125000000000003</v>
      </c>
      <c r="D499" s="4">
        <v>0.50694444444444442</v>
      </c>
      <c r="E499" s="4">
        <v>0.54583333333333328</v>
      </c>
      <c r="F499" s="4">
        <v>0.68472222222222223</v>
      </c>
      <c r="G499" s="5">
        <f t="shared" si="14"/>
        <v>6.35</v>
      </c>
      <c r="H499" s="8">
        <f t="shared" si="15"/>
        <v>1.96875</v>
      </c>
    </row>
    <row r="500" spans="1:8" x14ac:dyDescent="0.25">
      <c r="A500">
        <v>49</v>
      </c>
      <c r="B500" s="2">
        <v>44123</v>
      </c>
      <c r="C500" s="4">
        <v>0.3576388888888889</v>
      </c>
      <c r="D500" s="4">
        <v>0.51874999999999993</v>
      </c>
      <c r="E500" s="4">
        <v>0.54236111111111118</v>
      </c>
      <c r="F500" s="4">
        <v>0.68402777777777779</v>
      </c>
      <c r="G500" s="5">
        <f t="shared" si="14"/>
        <v>7.2666666666666639</v>
      </c>
      <c r="H500" s="8">
        <f t="shared" si="15"/>
        <v>1.9958333333333331</v>
      </c>
    </row>
    <row r="501" spans="1:8" x14ac:dyDescent="0.25">
      <c r="A501">
        <v>5</v>
      </c>
      <c r="B501" s="2">
        <v>44126</v>
      </c>
      <c r="C501" s="4">
        <v>0.34791666666666665</v>
      </c>
      <c r="D501" s="4">
        <v>0.50902777777777775</v>
      </c>
      <c r="E501" s="4">
        <v>0.55347222222222225</v>
      </c>
      <c r="F501" s="4">
        <v>0.69513888888888886</v>
      </c>
      <c r="G501" s="5">
        <f t="shared" si="14"/>
        <v>7.2666666666666648</v>
      </c>
      <c r="H501" s="8">
        <f t="shared" si="15"/>
        <v>0.99444444444444446</v>
      </c>
    </row>
    <row r="502" spans="1:8" x14ac:dyDescent="0.25">
      <c r="A502">
        <v>53</v>
      </c>
      <c r="B502" s="2">
        <v>44123</v>
      </c>
      <c r="C502" s="4">
        <v>0.33680555555555558</v>
      </c>
      <c r="D502" s="4">
        <v>0.50902777777777775</v>
      </c>
      <c r="E502" s="4">
        <v>0.57847222222222217</v>
      </c>
      <c r="F502" s="4">
        <v>0.70416666666666661</v>
      </c>
      <c r="G502" s="5">
        <f t="shared" si="14"/>
        <v>7.1499999999999986</v>
      </c>
      <c r="H502" s="8">
        <f t="shared" si="15"/>
        <v>0.98055555555555562</v>
      </c>
    </row>
    <row r="503" spans="1:8" x14ac:dyDescent="0.25">
      <c r="A503">
        <v>49</v>
      </c>
      <c r="B503" s="2">
        <v>44125</v>
      </c>
      <c r="C503" s="4">
        <v>0.34027777777777773</v>
      </c>
      <c r="D503" s="4">
        <v>0.50208333333333333</v>
      </c>
      <c r="E503" s="4">
        <v>0.57291666666666663</v>
      </c>
      <c r="F503" s="4">
        <v>0.68888888888888899</v>
      </c>
      <c r="G503" s="5">
        <f t="shared" si="14"/>
        <v>6.6666666666666714</v>
      </c>
      <c r="H503" s="8">
        <f t="shared" si="15"/>
        <v>0.98263888888888895</v>
      </c>
    </row>
    <row r="504" spans="1:8" x14ac:dyDescent="0.25">
      <c r="A504">
        <v>1</v>
      </c>
      <c r="B504" s="2">
        <v>44123</v>
      </c>
      <c r="C504" s="4">
        <v>0.36458333333333331</v>
      </c>
      <c r="D504" s="4">
        <v>0.50208333333333333</v>
      </c>
      <c r="E504" s="4">
        <v>0.55208333333333337</v>
      </c>
      <c r="F504" s="4">
        <v>0.69791666666666663</v>
      </c>
      <c r="G504" s="5">
        <f t="shared" si="14"/>
        <v>6.7999999999999989</v>
      </c>
      <c r="H504" s="8">
        <f t="shared" si="15"/>
        <v>1.9791666666666665</v>
      </c>
    </row>
    <row r="505" spans="1:8" x14ac:dyDescent="0.25">
      <c r="A505">
        <v>15</v>
      </c>
      <c r="B505" s="2">
        <v>44123</v>
      </c>
      <c r="C505" s="4">
        <v>0.31666666666666665</v>
      </c>
      <c r="D505" s="4">
        <v>0.50624999999999998</v>
      </c>
      <c r="E505" s="4">
        <v>0.57430555555555551</v>
      </c>
      <c r="F505" s="4">
        <v>0.68402777777777779</v>
      </c>
      <c r="G505" s="5">
        <f t="shared" si="14"/>
        <v>7.1833333333333345</v>
      </c>
      <c r="H505" s="8">
        <f t="shared" si="15"/>
        <v>1.0048611111111112</v>
      </c>
    </row>
    <row r="506" spans="1:8" x14ac:dyDescent="0.25">
      <c r="A506">
        <v>26</v>
      </c>
      <c r="B506" s="2">
        <v>44125</v>
      </c>
      <c r="C506" s="4">
        <v>0.31458333333333333</v>
      </c>
      <c r="D506" s="4">
        <v>0.51388888888888895</v>
      </c>
      <c r="E506" s="4">
        <v>0.53888888888888886</v>
      </c>
      <c r="F506" s="4">
        <v>0.68680555555555556</v>
      </c>
      <c r="G506" s="5">
        <f t="shared" si="14"/>
        <v>8.3333333333333357</v>
      </c>
      <c r="H506" s="8">
        <f t="shared" si="15"/>
        <v>4.2361111111111127E-2</v>
      </c>
    </row>
    <row r="507" spans="1:8" x14ac:dyDescent="0.25">
      <c r="A507">
        <v>80</v>
      </c>
      <c r="B507" s="2">
        <v>44125</v>
      </c>
      <c r="C507" s="4">
        <v>0.33055555555555555</v>
      </c>
      <c r="D507" s="4">
        <v>0.50486111111111109</v>
      </c>
      <c r="E507" s="4">
        <v>0.57777777777777783</v>
      </c>
      <c r="F507" s="4">
        <v>0.69166666666666676</v>
      </c>
      <c r="G507" s="5">
        <f t="shared" si="14"/>
        <v>6.9166666666666679</v>
      </c>
      <c r="H507" s="8">
        <f t="shared" si="15"/>
        <v>0.98749999999999993</v>
      </c>
    </row>
    <row r="508" spans="1:8" x14ac:dyDescent="0.25">
      <c r="A508">
        <v>3</v>
      </c>
      <c r="B508" s="2">
        <v>44126</v>
      </c>
      <c r="C508" s="4">
        <v>0.33194444444444443</v>
      </c>
      <c r="D508" s="4">
        <v>0.51874999999999993</v>
      </c>
      <c r="E508" s="4">
        <v>0.57916666666666672</v>
      </c>
      <c r="F508" s="4">
        <v>0.69513888888888886</v>
      </c>
      <c r="G508" s="5">
        <f t="shared" si="14"/>
        <v>7.2666666666666639</v>
      </c>
      <c r="H508" s="8">
        <f t="shared" si="15"/>
        <v>0.98472222222222217</v>
      </c>
    </row>
    <row r="509" spans="1:8" x14ac:dyDescent="0.25">
      <c r="A509">
        <v>29</v>
      </c>
      <c r="B509" s="2">
        <v>44124</v>
      </c>
      <c r="C509" s="4">
        <v>0.31944444444444448</v>
      </c>
      <c r="D509" s="4">
        <v>0.5083333333333333</v>
      </c>
      <c r="E509" s="4">
        <v>0.56458333333333333</v>
      </c>
      <c r="F509" s="4">
        <v>0.69444444444444453</v>
      </c>
      <c r="G509" s="5">
        <f t="shared" si="14"/>
        <v>7.65</v>
      </c>
      <c r="H509" s="8">
        <f t="shared" si="15"/>
        <v>1.0118055555555556</v>
      </c>
    </row>
    <row r="510" spans="1:8" x14ac:dyDescent="0.25">
      <c r="A510">
        <v>53</v>
      </c>
      <c r="B510" s="2">
        <v>44124</v>
      </c>
      <c r="C510" s="4">
        <v>0.33194444444444443</v>
      </c>
      <c r="D510" s="4">
        <v>0.50902777777777775</v>
      </c>
      <c r="E510" s="4">
        <v>0.56944444444444442</v>
      </c>
      <c r="F510" s="4">
        <v>0.68402777777777779</v>
      </c>
      <c r="G510" s="5">
        <f t="shared" si="14"/>
        <v>7.0000000000000009</v>
      </c>
      <c r="H510" s="8">
        <f t="shared" si="15"/>
        <v>0.99444444444444446</v>
      </c>
    </row>
    <row r="511" spans="1:8" x14ac:dyDescent="0.25">
      <c r="A511">
        <v>38</v>
      </c>
      <c r="B511" s="2">
        <v>44123</v>
      </c>
      <c r="C511" s="4">
        <v>0.31805555555555554</v>
      </c>
      <c r="D511" s="4">
        <v>0.50694444444444442</v>
      </c>
      <c r="E511" s="4">
        <v>0.57430555555555551</v>
      </c>
      <c r="F511" s="4">
        <v>0.69374999999999998</v>
      </c>
      <c r="G511" s="5">
        <f t="shared" si="14"/>
        <v>7.4</v>
      </c>
      <c r="H511" s="8">
        <f t="shared" si="15"/>
        <v>1.0034722222222223</v>
      </c>
    </row>
    <row r="512" spans="1:8" x14ac:dyDescent="0.25">
      <c r="A512">
        <v>20</v>
      </c>
      <c r="B512" s="2">
        <v>44124</v>
      </c>
      <c r="C512" s="4">
        <v>0.38472222222222219</v>
      </c>
      <c r="D512" s="4">
        <v>0.51597222222222217</v>
      </c>
      <c r="E512" s="4">
        <v>0.56736111111111109</v>
      </c>
      <c r="F512" s="4">
        <v>0.69513888888888886</v>
      </c>
      <c r="G512" s="5">
        <f t="shared" si="14"/>
        <v>6.2166666666666659</v>
      </c>
      <c r="H512" s="8">
        <f t="shared" si="15"/>
        <v>1.9437500000000001</v>
      </c>
    </row>
    <row r="513" spans="1:8" x14ac:dyDescent="0.25">
      <c r="A513">
        <v>56</v>
      </c>
      <c r="B513" s="2">
        <v>44123</v>
      </c>
      <c r="C513" s="4">
        <v>0.33958333333333335</v>
      </c>
      <c r="D513" s="4">
        <v>0.50416666666666665</v>
      </c>
      <c r="E513" s="4">
        <v>0.55555555555555558</v>
      </c>
      <c r="F513" s="4">
        <v>0.69097222222222221</v>
      </c>
      <c r="G513" s="5">
        <f t="shared" si="14"/>
        <v>7.1999999999999984</v>
      </c>
      <c r="H513" s="8">
        <f t="shared" si="15"/>
        <v>1.0006944444444443</v>
      </c>
    </row>
    <row r="514" spans="1:8" x14ac:dyDescent="0.25">
      <c r="A514">
        <v>67</v>
      </c>
      <c r="B514" s="2">
        <v>44125</v>
      </c>
      <c r="C514" s="4">
        <v>0.33194444444444443</v>
      </c>
      <c r="D514" s="4">
        <v>0.50138888888888888</v>
      </c>
      <c r="E514" s="4">
        <v>0.54722222222222217</v>
      </c>
      <c r="F514" s="4">
        <v>0.70208333333333339</v>
      </c>
      <c r="G514" s="5">
        <f t="shared" si="14"/>
        <v>7.7833333333333359</v>
      </c>
      <c r="H514" s="8">
        <f t="shared" si="15"/>
        <v>1.0166666666666666</v>
      </c>
    </row>
    <row r="515" spans="1:8" x14ac:dyDescent="0.25">
      <c r="A515">
        <v>62</v>
      </c>
      <c r="B515" s="2">
        <v>44126</v>
      </c>
      <c r="C515" s="4">
        <v>0.35347222222222219</v>
      </c>
      <c r="D515" s="4">
        <v>0.51111111111111118</v>
      </c>
      <c r="E515" s="4">
        <v>0.57222222222222219</v>
      </c>
      <c r="F515" s="4">
        <v>0.70416666666666661</v>
      </c>
      <c r="G515" s="5">
        <f t="shared" si="14"/>
        <v>6.950000000000002</v>
      </c>
      <c r="H515" s="8">
        <f t="shared" si="15"/>
        <v>0.97013888888888888</v>
      </c>
    </row>
    <row r="516" spans="1:8" x14ac:dyDescent="0.25">
      <c r="A516">
        <v>41</v>
      </c>
      <c r="B516" s="2">
        <v>44125</v>
      </c>
      <c r="C516" s="4">
        <v>0.37291666666666662</v>
      </c>
      <c r="D516" s="4">
        <v>0.52013888888888882</v>
      </c>
      <c r="E516" s="4">
        <v>0.55486111111111114</v>
      </c>
      <c r="F516" s="4">
        <v>0.69652777777777775</v>
      </c>
      <c r="G516" s="5">
        <f t="shared" si="14"/>
        <v>6.9333333333333318</v>
      </c>
      <c r="H516" s="8">
        <f t="shared" si="15"/>
        <v>1.9680555555555554</v>
      </c>
    </row>
    <row r="517" spans="1:8" x14ac:dyDescent="0.25">
      <c r="A517">
        <v>98</v>
      </c>
      <c r="B517" s="2">
        <v>44123</v>
      </c>
      <c r="C517" s="4">
        <v>0.38611111111111113</v>
      </c>
      <c r="D517" s="4">
        <v>0.50972222222222219</v>
      </c>
      <c r="E517" s="4">
        <v>0.57847222222222217</v>
      </c>
      <c r="F517" s="4">
        <v>0.68611111111111101</v>
      </c>
      <c r="G517" s="5">
        <f t="shared" si="14"/>
        <v>5.5499999999999972</v>
      </c>
      <c r="H517" s="8">
        <f t="shared" si="15"/>
        <v>1.9312499999999999</v>
      </c>
    </row>
    <row r="518" spans="1:8" x14ac:dyDescent="0.25">
      <c r="A518">
        <v>57</v>
      </c>
      <c r="B518" s="2">
        <v>44125</v>
      </c>
      <c r="C518" s="4">
        <v>0.37361111111111112</v>
      </c>
      <c r="D518" s="4">
        <v>0.51874999999999993</v>
      </c>
      <c r="E518" s="4">
        <v>0.54097222222222219</v>
      </c>
      <c r="F518" s="4">
        <v>0.68541666666666667</v>
      </c>
      <c r="G518" s="5">
        <f t="shared" si="14"/>
        <v>6.9499999999999993</v>
      </c>
      <c r="H518" s="8">
        <f t="shared" si="15"/>
        <v>0.98125000000000007</v>
      </c>
    </row>
    <row r="519" spans="1:8" x14ac:dyDescent="0.25">
      <c r="A519">
        <v>33</v>
      </c>
      <c r="B519" s="2">
        <v>44125</v>
      </c>
      <c r="C519" s="4">
        <v>0.31319444444444444</v>
      </c>
      <c r="D519" s="4">
        <v>0.50416666666666665</v>
      </c>
      <c r="E519" s="4">
        <v>0.56041666666666667</v>
      </c>
      <c r="F519" s="4">
        <v>0.68888888888888899</v>
      </c>
      <c r="G519" s="5">
        <f t="shared" si="14"/>
        <v>7.6666666666666687</v>
      </c>
      <c r="H519" s="8">
        <f t="shared" si="15"/>
        <v>1.0222222222222221</v>
      </c>
    </row>
    <row r="520" spans="1:8" x14ac:dyDescent="0.25">
      <c r="A520">
        <v>49</v>
      </c>
      <c r="B520" s="2">
        <v>44124</v>
      </c>
      <c r="C520" s="4">
        <v>0.37847222222222227</v>
      </c>
      <c r="D520" s="4">
        <v>0.51180555555555551</v>
      </c>
      <c r="E520" s="4">
        <v>0.55972222222222223</v>
      </c>
      <c r="F520" s="4">
        <v>0.69513888888888886</v>
      </c>
      <c r="G520" s="5">
        <f t="shared" ref="G520:G583" si="16">((D520-C520)*24)+((F520-E520)*24)</f>
        <v>6.4499999999999975</v>
      </c>
      <c r="H520" s="8">
        <f t="shared" ref="H520:H583" si="17">MOD((TIME(8,30,0)-C520),1)+MOD((TIME(13,0,0)-E520),1)</f>
        <v>1.9576388888888889</v>
      </c>
    </row>
    <row r="521" spans="1:8" x14ac:dyDescent="0.25">
      <c r="A521">
        <v>2</v>
      </c>
      <c r="B521" s="2">
        <v>44125</v>
      </c>
      <c r="C521" s="4">
        <v>0.3215277777777778</v>
      </c>
      <c r="D521" s="4">
        <v>0.51527777777777783</v>
      </c>
      <c r="E521" s="4">
        <v>0.56874999999999998</v>
      </c>
      <c r="F521" s="4">
        <v>0.69305555555555554</v>
      </c>
      <c r="G521" s="5">
        <f t="shared" si="16"/>
        <v>7.6333333333333337</v>
      </c>
      <c r="H521" s="8">
        <f t="shared" si="17"/>
        <v>1.0055555555555555</v>
      </c>
    </row>
    <row r="522" spans="1:8" x14ac:dyDescent="0.25">
      <c r="A522">
        <v>80</v>
      </c>
      <c r="B522" s="2">
        <v>44124</v>
      </c>
      <c r="C522" s="4">
        <v>0.3125</v>
      </c>
      <c r="D522" s="4">
        <v>0.50138888888888888</v>
      </c>
      <c r="E522" s="4">
        <v>0.57777777777777783</v>
      </c>
      <c r="F522" s="4">
        <v>0.70000000000000007</v>
      </c>
      <c r="G522" s="5">
        <f t="shared" si="16"/>
        <v>7.4666666666666668</v>
      </c>
      <c r="H522" s="8">
        <f t="shared" si="17"/>
        <v>1.0055555555555555</v>
      </c>
    </row>
    <row r="523" spans="1:8" x14ac:dyDescent="0.25">
      <c r="A523">
        <v>61</v>
      </c>
      <c r="B523" s="2">
        <v>44126</v>
      </c>
      <c r="C523" s="4">
        <v>0.36041666666666666</v>
      </c>
      <c r="D523" s="4">
        <v>0.52013888888888882</v>
      </c>
      <c r="E523" s="4">
        <v>0.55555555555555558</v>
      </c>
      <c r="F523" s="4">
        <v>0.69027777777777777</v>
      </c>
      <c r="G523" s="5">
        <f t="shared" si="16"/>
        <v>7.0666666666666647</v>
      </c>
      <c r="H523" s="8">
        <f t="shared" si="17"/>
        <v>1.9798611111111111</v>
      </c>
    </row>
    <row r="524" spans="1:8" x14ac:dyDescent="0.25">
      <c r="A524">
        <v>36</v>
      </c>
      <c r="B524" s="2">
        <v>44125</v>
      </c>
      <c r="C524" s="4">
        <v>0.34791666666666665</v>
      </c>
      <c r="D524" s="4">
        <v>0.50763888888888886</v>
      </c>
      <c r="E524" s="4">
        <v>0.5541666666666667</v>
      </c>
      <c r="F524" s="4">
        <v>0.69930555555555562</v>
      </c>
      <c r="G524" s="5">
        <f t="shared" si="16"/>
        <v>7.3166666666666673</v>
      </c>
      <c r="H524" s="8">
        <f t="shared" si="17"/>
        <v>0.99374999999999991</v>
      </c>
    </row>
    <row r="525" spans="1:8" x14ac:dyDescent="0.25">
      <c r="A525">
        <v>42</v>
      </c>
      <c r="B525" s="2">
        <v>44123</v>
      </c>
      <c r="C525" s="4">
        <v>0.36249999999999999</v>
      </c>
      <c r="D525" s="4">
        <v>0.50138888888888888</v>
      </c>
      <c r="E525" s="4">
        <v>0.57152777777777775</v>
      </c>
      <c r="F525" s="4">
        <v>0.69374999999999998</v>
      </c>
      <c r="G525" s="5">
        <f t="shared" si="16"/>
        <v>6.2666666666666675</v>
      </c>
      <c r="H525" s="8">
        <f t="shared" si="17"/>
        <v>1.9618055555555556</v>
      </c>
    </row>
    <row r="526" spans="1:8" x14ac:dyDescent="0.25">
      <c r="A526">
        <v>26</v>
      </c>
      <c r="B526" s="2">
        <v>44123</v>
      </c>
      <c r="C526" s="4">
        <v>0.38611111111111113</v>
      </c>
      <c r="D526" s="4">
        <v>0.51874999999999993</v>
      </c>
      <c r="E526" s="4">
        <v>0.54513888888888895</v>
      </c>
      <c r="F526" s="4">
        <v>0.7006944444444444</v>
      </c>
      <c r="G526" s="5">
        <f t="shared" si="16"/>
        <v>6.9166666666666625</v>
      </c>
      <c r="H526" s="8">
        <f t="shared" si="17"/>
        <v>1.9645833333333331</v>
      </c>
    </row>
    <row r="527" spans="1:8" x14ac:dyDescent="0.25">
      <c r="A527">
        <v>59</v>
      </c>
      <c r="B527" s="2">
        <v>44123</v>
      </c>
      <c r="C527" s="4">
        <v>0.3125</v>
      </c>
      <c r="D527" s="4">
        <v>0.51666666666666672</v>
      </c>
      <c r="E527" s="4">
        <v>0.56666666666666665</v>
      </c>
      <c r="F527" s="4">
        <v>0.6958333333333333</v>
      </c>
      <c r="G527" s="5">
        <f t="shared" si="16"/>
        <v>8</v>
      </c>
      <c r="H527" s="8">
        <f t="shared" si="17"/>
        <v>1.0166666666666666</v>
      </c>
    </row>
    <row r="528" spans="1:8" x14ac:dyDescent="0.25">
      <c r="A528">
        <v>9</v>
      </c>
      <c r="B528" s="2">
        <v>44124</v>
      </c>
      <c r="C528" s="4">
        <v>0.37638888888888888</v>
      </c>
      <c r="D528" s="4">
        <v>0.5131944444444444</v>
      </c>
      <c r="E528" s="4">
        <v>0.55763888888888891</v>
      </c>
      <c r="F528" s="4">
        <v>0.70347222222222217</v>
      </c>
      <c r="G528" s="5">
        <f t="shared" si="16"/>
        <v>6.7833333333333306</v>
      </c>
      <c r="H528" s="8">
        <f t="shared" si="17"/>
        <v>1.9618055555555556</v>
      </c>
    </row>
    <row r="529" spans="1:8" x14ac:dyDescent="0.25">
      <c r="A529">
        <v>25</v>
      </c>
      <c r="B529" s="2">
        <v>44124</v>
      </c>
      <c r="C529" s="4">
        <v>0.3347222222222222</v>
      </c>
      <c r="D529" s="4">
        <v>0.5083333333333333</v>
      </c>
      <c r="E529" s="4">
        <v>0.55208333333333337</v>
      </c>
      <c r="F529" s="4">
        <v>0.6875</v>
      </c>
      <c r="G529" s="5">
        <f t="shared" si="16"/>
        <v>7.4166666666666652</v>
      </c>
      <c r="H529" s="8">
        <f t="shared" si="17"/>
        <v>1.0090277777777779</v>
      </c>
    </row>
    <row r="530" spans="1:8" x14ac:dyDescent="0.25">
      <c r="A530">
        <v>79</v>
      </c>
      <c r="B530" s="2">
        <v>44126</v>
      </c>
      <c r="C530" s="4">
        <v>0.34861111111111115</v>
      </c>
      <c r="D530" s="4">
        <v>0.51250000000000007</v>
      </c>
      <c r="E530" s="4">
        <v>0.57916666666666672</v>
      </c>
      <c r="F530" s="4">
        <v>0.70416666666666661</v>
      </c>
      <c r="G530" s="5">
        <f t="shared" si="16"/>
        <v>6.9333333333333318</v>
      </c>
      <c r="H530" s="8">
        <f t="shared" si="17"/>
        <v>0.96805555555555545</v>
      </c>
    </row>
    <row r="531" spans="1:8" x14ac:dyDescent="0.25">
      <c r="A531">
        <v>93</v>
      </c>
      <c r="B531" s="2">
        <v>44125</v>
      </c>
      <c r="C531" s="4">
        <v>0.38750000000000001</v>
      </c>
      <c r="D531" s="4">
        <v>0.5180555555555556</v>
      </c>
      <c r="E531" s="4">
        <v>0.54583333333333328</v>
      </c>
      <c r="F531" s="4">
        <v>0.68541666666666667</v>
      </c>
      <c r="G531" s="5">
        <f t="shared" si="16"/>
        <v>6.4833333333333361</v>
      </c>
      <c r="H531" s="8">
        <f t="shared" si="17"/>
        <v>1.9624999999999999</v>
      </c>
    </row>
    <row r="532" spans="1:8" x14ac:dyDescent="0.25">
      <c r="A532">
        <v>47</v>
      </c>
      <c r="B532" s="2">
        <v>44123</v>
      </c>
      <c r="C532" s="4">
        <v>0.3298611111111111</v>
      </c>
      <c r="D532" s="4">
        <v>0.50694444444444442</v>
      </c>
      <c r="E532" s="4">
        <v>0.57847222222222217</v>
      </c>
      <c r="F532" s="4">
        <v>0.70277777777777783</v>
      </c>
      <c r="G532" s="5">
        <f t="shared" si="16"/>
        <v>7.2333333333333361</v>
      </c>
      <c r="H532" s="8">
        <f t="shared" si="17"/>
        <v>0.98750000000000004</v>
      </c>
    </row>
    <row r="533" spans="1:8" x14ac:dyDescent="0.25">
      <c r="A533">
        <v>79</v>
      </c>
      <c r="B533" s="2">
        <v>44124</v>
      </c>
      <c r="C533" s="4">
        <v>0.32222222222222224</v>
      </c>
      <c r="D533" s="4">
        <v>0.52013888888888882</v>
      </c>
      <c r="E533" s="4">
        <v>0.55138888888888882</v>
      </c>
      <c r="F533" s="4">
        <v>0.70347222222222217</v>
      </c>
      <c r="G533" s="5">
        <f t="shared" si="16"/>
        <v>8.3999999999999986</v>
      </c>
      <c r="H533" s="8">
        <f t="shared" si="17"/>
        <v>1.0222222222222221</v>
      </c>
    </row>
    <row r="534" spans="1:8" x14ac:dyDescent="0.25">
      <c r="A534">
        <v>31</v>
      </c>
      <c r="B534" s="2">
        <v>44125</v>
      </c>
      <c r="C534" s="4">
        <v>0.35486111111111113</v>
      </c>
      <c r="D534" s="4">
        <v>0.51944444444444449</v>
      </c>
      <c r="E534" s="4">
        <v>0.5493055555555556</v>
      </c>
      <c r="F534" s="4">
        <v>0.70277777777777783</v>
      </c>
      <c r="G534" s="5">
        <f t="shared" si="16"/>
        <v>7.6333333333333346</v>
      </c>
      <c r="H534" s="8">
        <f t="shared" si="17"/>
        <v>1.9916666666666667</v>
      </c>
    </row>
    <row r="535" spans="1:8" x14ac:dyDescent="0.25">
      <c r="A535">
        <v>96</v>
      </c>
      <c r="B535" s="2">
        <v>44126</v>
      </c>
      <c r="C535" s="4">
        <v>0.36736111111111108</v>
      </c>
      <c r="D535" s="4">
        <v>0.5</v>
      </c>
      <c r="E535" s="4">
        <v>0.55763888888888891</v>
      </c>
      <c r="F535" s="4">
        <v>0.69305555555555554</v>
      </c>
      <c r="G535" s="5">
        <f t="shared" si="16"/>
        <v>6.4333333333333336</v>
      </c>
      <c r="H535" s="8">
        <f t="shared" si="17"/>
        <v>1.9708333333333332</v>
      </c>
    </row>
    <row r="536" spans="1:8" x14ac:dyDescent="0.25">
      <c r="A536">
        <v>99</v>
      </c>
      <c r="B536" s="2">
        <v>44125</v>
      </c>
      <c r="C536" s="4">
        <v>0.38194444444444442</v>
      </c>
      <c r="D536" s="4">
        <v>0.50763888888888886</v>
      </c>
      <c r="E536" s="4">
        <v>0.54166666666666663</v>
      </c>
      <c r="F536" s="4">
        <v>0.69791666666666663</v>
      </c>
      <c r="G536" s="5">
        <f t="shared" si="16"/>
        <v>6.7666666666666666</v>
      </c>
      <c r="H536" s="8">
        <f t="shared" si="17"/>
        <v>0.97222222222222232</v>
      </c>
    </row>
    <row r="537" spans="1:8" x14ac:dyDescent="0.25">
      <c r="A537">
        <v>51</v>
      </c>
      <c r="B537" s="2">
        <v>44123</v>
      </c>
      <c r="C537" s="4">
        <v>0.34513888888888888</v>
      </c>
      <c r="D537" s="4">
        <v>0.50902777777777775</v>
      </c>
      <c r="E537" s="4">
        <v>0.54166666666666663</v>
      </c>
      <c r="F537" s="4">
        <v>0.68958333333333333</v>
      </c>
      <c r="G537" s="5">
        <f t="shared" si="16"/>
        <v>7.4833333333333334</v>
      </c>
      <c r="H537" s="8">
        <f t="shared" si="17"/>
        <v>9.0277777777778012E-3</v>
      </c>
    </row>
    <row r="538" spans="1:8" x14ac:dyDescent="0.25">
      <c r="A538">
        <v>93</v>
      </c>
      <c r="B538" s="2">
        <v>44123</v>
      </c>
      <c r="C538" s="4">
        <v>0.32847222222222222</v>
      </c>
      <c r="D538" s="4">
        <v>0.51944444444444449</v>
      </c>
      <c r="E538" s="4">
        <v>0.5493055555555556</v>
      </c>
      <c r="F538" s="4">
        <v>0.69236111111111109</v>
      </c>
      <c r="G538" s="5">
        <f t="shared" si="16"/>
        <v>8.0166666666666657</v>
      </c>
      <c r="H538" s="8">
        <f t="shared" si="17"/>
        <v>1.0180555555555555</v>
      </c>
    </row>
    <row r="539" spans="1:8" x14ac:dyDescent="0.25">
      <c r="A539">
        <v>99</v>
      </c>
      <c r="B539" s="2">
        <v>44124</v>
      </c>
      <c r="C539" s="4">
        <v>0.3756944444444445</v>
      </c>
      <c r="D539" s="4">
        <v>0.51527777777777783</v>
      </c>
      <c r="E539" s="4">
        <v>0.54791666666666672</v>
      </c>
      <c r="F539" s="4">
        <v>0.70277777777777783</v>
      </c>
      <c r="G539" s="5">
        <f t="shared" si="16"/>
        <v>7.0666666666666664</v>
      </c>
      <c r="H539" s="8">
        <f t="shared" si="17"/>
        <v>1.9722222222222221</v>
      </c>
    </row>
    <row r="540" spans="1:8" x14ac:dyDescent="0.25">
      <c r="A540">
        <v>95</v>
      </c>
      <c r="B540" s="2">
        <v>44123</v>
      </c>
      <c r="C540" s="4">
        <v>0.32291666666666669</v>
      </c>
      <c r="D540" s="4">
        <v>0.49791666666666662</v>
      </c>
      <c r="E540" s="4">
        <v>0.54375000000000007</v>
      </c>
      <c r="F540" s="4">
        <v>0.70208333333333339</v>
      </c>
      <c r="G540" s="5">
        <f t="shared" si="16"/>
        <v>7.9999999999999982</v>
      </c>
      <c r="H540" s="8">
        <f t="shared" si="17"/>
        <v>1.0291666666666666</v>
      </c>
    </row>
    <row r="541" spans="1:8" x14ac:dyDescent="0.25">
      <c r="A541">
        <v>20</v>
      </c>
      <c r="B541" s="2">
        <v>44125</v>
      </c>
      <c r="C541" s="4">
        <v>0.38680555555555557</v>
      </c>
      <c r="D541" s="4">
        <v>0.5180555555555556</v>
      </c>
      <c r="E541" s="4">
        <v>0.56388888888888888</v>
      </c>
      <c r="F541" s="4">
        <v>0.6972222222222223</v>
      </c>
      <c r="G541" s="5">
        <f t="shared" si="16"/>
        <v>6.3500000000000032</v>
      </c>
      <c r="H541" s="8">
        <f t="shared" si="17"/>
        <v>1.9451388888888888</v>
      </c>
    </row>
    <row r="542" spans="1:8" x14ac:dyDescent="0.25">
      <c r="A542">
        <v>15</v>
      </c>
      <c r="B542" s="2">
        <v>44125</v>
      </c>
      <c r="C542" s="4">
        <v>0.375</v>
      </c>
      <c r="D542" s="4">
        <v>0.50277777777777777</v>
      </c>
      <c r="E542" s="4">
        <v>0.56111111111111112</v>
      </c>
      <c r="F542" s="4">
        <v>0.69166666666666676</v>
      </c>
      <c r="G542" s="5">
        <f t="shared" si="16"/>
        <v>6.200000000000002</v>
      </c>
      <c r="H542" s="8">
        <f t="shared" si="17"/>
        <v>1.9597222222222221</v>
      </c>
    </row>
    <row r="543" spans="1:8" x14ac:dyDescent="0.25">
      <c r="A543">
        <v>30</v>
      </c>
      <c r="B543" s="2">
        <v>44124</v>
      </c>
      <c r="C543" s="4">
        <v>0.35833333333333334</v>
      </c>
      <c r="D543" s="4">
        <v>0.50694444444444442</v>
      </c>
      <c r="E543" s="4">
        <v>0.55763888888888891</v>
      </c>
      <c r="F543" s="4">
        <v>0.69930555555555562</v>
      </c>
      <c r="G543" s="5">
        <f t="shared" si="16"/>
        <v>6.9666666666666668</v>
      </c>
      <c r="H543" s="8">
        <f t="shared" si="17"/>
        <v>1.9798611111111111</v>
      </c>
    </row>
    <row r="544" spans="1:8" x14ac:dyDescent="0.25">
      <c r="A544">
        <v>66</v>
      </c>
      <c r="B544" s="2">
        <v>44124</v>
      </c>
      <c r="C544" s="4">
        <v>0.32013888888888892</v>
      </c>
      <c r="D544" s="4">
        <v>0.51527777777777783</v>
      </c>
      <c r="E544" s="4">
        <v>0.55347222222222225</v>
      </c>
      <c r="F544" s="4">
        <v>0.68472222222222223</v>
      </c>
      <c r="G544" s="5">
        <f t="shared" si="16"/>
        <v>7.833333333333333</v>
      </c>
      <c r="H544" s="8">
        <f t="shared" si="17"/>
        <v>1.0222222222222221</v>
      </c>
    </row>
    <row r="545" spans="1:8" x14ac:dyDescent="0.25">
      <c r="A545">
        <v>82</v>
      </c>
      <c r="B545" s="2">
        <v>44126</v>
      </c>
      <c r="C545" s="4">
        <v>0.31666666666666665</v>
      </c>
      <c r="D545" s="4">
        <v>0.5083333333333333</v>
      </c>
      <c r="E545" s="4">
        <v>0.56736111111111109</v>
      </c>
      <c r="F545" s="4">
        <v>0.69374999999999998</v>
      </c>
      <c r="G545" s="5">
        <f t="shared" si="16"/>
        <v>7.6333333333333329</v>
      </c>
      <c r="H545" s="8">
        <f t="shared" si="17"/>
        <v>1.0118055555555556</v>
      </c>
    </row>
    <row r="546" spans="1:8" x14ac:dyDescent="0.25">
      <c r="A546">
        <v>99</v>
      </c>
      <c r="B546" s="2">
        <v>44124</v>
      </c>
      <c r="C546" s="4">
        <v>0.3444444444444445</v>
      </c>
      <c r="D546" s="4">
        <v>0.5</v>
      </c>
      <c r="E546" s="4">
        <v>0.54652777777777783</v>
      </c>
      <c r="F546" s="4">
        <v>0.68819444444444444</v>
      </c>
      <c r="G546" s="5">
        <f t="shared" si="16"/>
        <v>7.1333333333333311</v>
      </c>
      <c r="H546" s="8">
        <f t="shared" si="17"/>
        <v>1.004861111111111</v>
      </c>
    </row>
    <row r="547" spans="1:8" x14ac:dyDescent="0.25">
      <c r="A547">
        <v>9</v>
      </c>
      <c r="B547" s="2">
        <v>44125</v>
      </c>
      <c r="C547" s="4">
        <v>0.34861111111111115</v>
      </c>
      <c r="D547" s="4">
        <v>0.51180555555555551</v>
      </c>
      <c r="E547" s="4">
        <v>0.55763888888888891</v>
      </c>
      <c r="F547" s="4">
        <v>0.69652777777777775</v>
      </c>
      <c r="G547" s="5">
        <f t="shared" si="16"/>
        <v>7.2499999999999964</v>
      </c>
      <c r="H547" s="8">
        <f t="shared" si="17"/>
        <v>0.98958333333333326</v>
      </c>
    </row>
    <row r="548" spans="1:8" x14ac:dyDescent="0.25">
      <c r="A548">
        <v>68</v>
      </c>
      <c r="B548" s="2">
        <v>44124</v>
      </c>
      <c r="C548" s="4">
        <v>0.31805555555555554</v>
      </c>
      <c r="D548" s="4">
        <v>0.51944444444444449</v>
      </c>
      <c r="E548" s="4">
        <v>0.54999999999999993</v>
      </c>
      <c r="F548" s="4">
        <v>0.69513888888888886</v>
      </c>
      <c r="G548" s="5">
        <f t="shared" si="16"/>
        <v>8.31666666666667</v>
      </c>
      <c r="H548" s="8">
        <f t="shared" si="17"/>
        <v>1.0277777777777779</v>
      </c>
    </row>
    <row r="549" spans="1:8" x14ac:dyDescent="0.25">
      <c r="A549">
        <v>28</v>
      </c>
      <c r="B549" s="2">
        <v>44124</v>
      </c>
      <c r="C549" s="4">
        <v>0.3298611111111111</v>
      </c>
      <c r="D549" s="4">
        <v>0.49652777777777773</v>
      </c>
      <c r="E549" s="4">
        <v>0.55486111111111114</v>
      </c>
      <c r="F549" s="4">
        <v>0.70277777777777783</v>
      </c>
      <c r="G549" s="5">
        <f t="shared" si="16"/>
        <v>7.55</v>
      </c>
      <c r="H549" s="8">
        <f t="shared" si="17"/>
        <v>1.0111111111111111</v>
      </c>
    </row>
    <row r="550" spans="1:8" x14ac:dyDescent="0.25">
      <c r="A550">
        <v>37</v>
      </c>
      <c r="B550" s="2">
        <v>44124</v>
      </c>
      <c r="C550" s="4">
        <v>0.37152777777777773</v>
      </c>
      <c r="D550" s="4">
        <v>0.50486111111111109</v>
      </c>
      <c r="E550" s="4">
        <v>0.56944444444444442</v>
      </c>
      <c r="F550" s="4">
        <v>0.70277777777777783</v>
      </c>
      <c r="G550" s="5">
        <f t="shared" si="16"/>
        <v>6.4000000000000021</v>
      </c>
      <c r="H550" s="8">
        <f t="shared" si="17"/>
        <v>1.9548611111111112</v>
      </c>
    </row>
    <row r="551" spans="1:8" x14ac:dyDescent="0.25">
      <c r="A551">
        <v>71</v>
      </c>
      <c r="B551" s="2">
        <v>44123</v>
      </c>
      <c r="C551" s="4">
        <v>0.38680555555555557</v>
      </c>
      <c r="D551" s="4">
        <v>0.51041666666666663</v>
      </c>
      <c r="E551" s="4">
        <v>0.54375000000000007</v>
      </c>
      <c r="F551" s="4">
        <v>0.70208333333333339</v>
      </c>
      <c r="G551" s="5">
        <f t="shared" si="16"/>
        <v>6.7666666666666657</v>
      </c>
      <c r="H551" s="8">
        <f t="shared" si="17"/>
        <v>1.9652777777777777</v>
      </c>
    </row>
    <row r="552" spans="1:8" x14ac:dyDescent="0.25">
      <c r="A552">
        <v>45</v>
      </c>
      <c r="B552" s="2">
        <v>44123</v>
      </c>
      <c r="C552" s="4">
        <v>0.36041666666666666</v>
      </c>
      <c r="D552" s="4">
        <v>0.51944444444444449</v>
      </c>
      <c r="E552" s="4">
        <v>0.54097222222222219</v>
      </c>
      <c r="F552" s="4">
        <v>0.69652777777777775</v>
      </c>
      <c r="G552" s="5">
        <f t="shared" si="16"/>
        <v>7.5500000000000007</v>
      </c>
      <c r="H552" s="8">
        <f t="shared" si="17"/>
        <v>0.99444444444444446</v>
      </c>
    </row>
    <row r="553" spans="1:8" x14ac:dyDescent="0.25">
      <c r="A553">
        <v>36</v>
      </c>
      <c r="B553" s="2">
        <v>44124</v>
      </c>
      <c r="C553" s="4">
        <v>0.31597222222222221</v>
      </c>
      <c r="D553" s="4">
        <v>0.50972222222222219</v>
      </c>
      <c r="E553" s="4">
        <v>0.54305555555555551</v>
      </c>
      <c r="F553" s="4">
        <v>0.69513888888888886</v>
      </c>
      <c r="G553" s="5">
        <f t="shared" si="16"/>
        <v>8.3000000000000007</v>
      </c>
      <c r="H553" s="8">
        <f t="shared" si="17"/>
        <v>1.0368055555555555</v>
      </c>
    </row>
    <row r="554" spans="1:8" x14ac:dyDescent="0.25">
      <c r="A554">
        <v>2</v>
      </c>
      <c r="B554" s="2">
        <v>44124</v>
      </c>
      <c r="C554" s="4">
        <v>0.32222222222222224</v>
      </c>
      <c r="D554" s="4">
        <v>0.51041666666666663</v>
      </c>
      <c r="E554" s="4">
        <v>0.54305555555555551</v>
      </c>
      <c r="F554" s="4">
        <v>0.68611111111111101</v>
      </c>
      <c r="G554" s="5">
        <f t="shared" si="16"/>
        <v>7.9499999999999975</v>
      </c>
      <c r="H554" s="8">
        <f t="shared" si="17"/>
        <v>1.0305555555555554</v>
      </c>
    </row>
    <row r="555" spans="1:8" x14ac:dyDescent="0.25">
      <c r="A555">
        <v>67</v>
      </c>
      <c r="B555" s="2">
        <v>44126</v>
      </c>
      <c r="C555" s="4">
        <v>0.36458333333333331</v>
      </c>
      <c r="D555" s="4">
        <v>0.51597222222222217</v>
      </c>
      <c r="E555" s="4">
        <v>0.54375000000000007</v>
      </c>
      <c r="F555" s="4">
        <v>0.69861111111111107</v>
      </c>
      <c r="G555" s="5">
        <f t="shared" si="16"/>
        <v>7.3499999999999961</v>
      </c>
      <c r="H555" s="8">
        <f t="shared" si="17"/>
        <v>1.9874999999999998</v>
      </c>
    </row>
    <row r="556" spans="1:8" x14ac:dyDescent="0.25">
      <c r="A556">
        <v>98</v>
      </c>
      <c r="B556" s="2">
        <v>44126</v>
      </c>
      <c r="C556" s="4">
        <v>0.35138888888888892</v>
      </c>
      <c r="D556" s="4">
        <v>0.50416666666666665</v>
      </c>
      <c r="E556" s="4">
        <v>0.55902777777777779</v>
      </c>
      <c r="F556" s="4">
        <v>0.6875</v>
      </c>
      <c r="G556" s="5">
        <f t="shared" si="16"/>
        <v>6.7499999999999982</v>
      </c>
      <c r="H556" s="8">
        <f t="shared" si="17"/>
        <v>0.98541666666666661</v>
      </c>
    </row>
    <row r="557" spans="1:8" x14ac:dyDescent="0.25">
      <c r="A557">
        <v>30</v>
      </c>
      <c r="B557" s="2">
        <v>44123</v>
      </c>
      <c r="C557" s="4">
        <v>0.3527777777777778</v>
      </c>
      <c r="D557" s="4">
        <v>0.5</v>
      </c>
      <c r="E557" s="4">
        <v>0.57638888888888895</v>
      </c>
      <c r="F557" s="4">
        <v>0.69444444444444453</v>
      </c>
      <c r="G557" s="5">
        <f t="shared" si="16"/>
        <v>6.3666666666666671</v>
      </c>
      <c r="H557" s="8">
        <f t="shared" si="17"/>
        <v>0.96666666666666656</v>
      </c>
    </row>
    <row r="558" spans="1:8" x14ac:dyDescent="0.25">
      <c r="A558">
        <v>53</v>
      </c>
      <c r="B558" s="2">
        <v>44126</v>
      </c>
      <c r="C558" s="4">
        <v>0.3520833333333333</v>
      </c>
      <c r="D558" s="4">
        <v>0.51180555555555551</v>
      </c>
      <c r="E558" s="4">
        <v>0.5493055555555556</v>
      </c>
      <c r="F558" s="4">
        <v>0.69374999999999998</v>
      </c>
      <c r="G558" s="5">
        <f t="shared" si="16"/>
        <v>7.299999999999998</v>
      </c>
      <c r="H558" s="8">
        <f t="shared" si="17"/>
        <v>0.99444444444444446</v>
      </c>
    </row>
    <row r="559" spans="1:8" x14ac:dyDescent="0.25">
      <c r="A559">
        <v>37</v>
      </c>
      <c r="B559" s="2">
        <v>44125</v>
      </c>
      <c r="C559" s="4">
        <v>0.36180555555555555</v>
      </c>
      <c r="D559" s="4">
        <v>0.50902777777777775</v>
      </c>
      <c r="E559" s="4">
        <v>0.56805555555555554</v>
      </c>
      <c r="F559" s="4">
        <v>0.68541666666666667</v>
      </c>
      <c r="G559" s="5">
        <f t="shared" si="16"/>
        <v>6.35</v>
      </c>
      <c r="H559" s="8">
        <f t="shared" si="17"/>
        <v>1.9659722222222222</v>
      </c>
    </row>
    <row r="560" spans="1:8" x14ac:dyDescent="0.25">
      <c r="A560">
        <v>65</v>
      </c>
      <c r="B560" s="2">
        <v>44124</v>
      </c>
      <c r="C560" s="4">
        <v>0.35486111111111113</v>
      </c>
      <c r="D560" s="4">
        <v>0.51527777777777783</v>
      </c>
      <c r="E560" s="4">
        <v>0.54305555555555551</v>
      </c>
      <c r="F560" s="4">
        <v>0.68958333333333333</v>
      </c>
      <c r="G560" s="5">
        <f t="shared" si="16"/>
        <v>7.3666666666666689</v>
      </c>
      <c r="H560" s="8">
        <f t="shared" si="17"/>
        <v>1.9979166666666668</v>
      </c>
    </row>
    <row r="561" spans="1:8" x14ac:dyDescent="0.25">
      <c r="A561">
        <v>6</v>
      </c>
      <c r="B561" s="2">
        <v>44124</v>
      </c>
      <c r="C561" s="4">
        <v>0.34027777777777773</v>
      </c>
      <c r="D561" s="4">
        <v>0.51944444444444449</v>
      </c>
      <c r="E561" s="4">
        <v>0.54305555555555551</v>
      </c>
      <c r="F561" s="4">
        <v>0.68680555555555556</v>
      </c>
      <c r="G561" s="5">
        <f t="shared" si="16"/>
        <v>7.7500000000000036</v>
      </c>
      <c r="H561" s="8">
        <f t="shared" si="17"/>
        <v>1.0125000000000002</v>
      </c>
    </row>
    <row r="562" spans="1:8" x14ac:dyDescent="0.25">
      <c r="A562">
        <v>6</v>
      </c>
      <c r="B562" s="2">
        <v>44123</v>
      </c>
      <c r="C562" s="4">
        <v>0.36180555555555555</v>
      </c>
      <c r="D562" s="4">
        <v>0.50624999999999998</v>
      </c>
      <c r="E562" s="4">
        <v>0.54583333333333328</v>
      </c>
      <c r="F562" s="4">
        <v>0.69027777777777777</v>
      </c>
      <c r="G562" s="5">
        <f t="shared" si="16"/>
        <v>6.9333333333333336</v>
      </c>
      <c r="H562" s="8">
        <f t="shared" si="17"/>
        <v>1.9881944444444444</v>
      </c>
    </row>
    <row r="563" spans="1:8" x14ac:dyDescent="0.25">
      <c r="A563">
        <v>60</v>
      </c>
      <c r="B563" s="2">
        <v>44123</v>
      </c>
      <c r="C563" s="4">
        <v>0.35833333333333334</v>
      </c>
      <c r="D563" s="4">
        <v>0.50069444444444444</v>
      </c>
      <c r="E563" s="4">
        <v>0.54513888888888895</v>
      </c>
      <c r="F563" s="4">
        <v>0.70208333333333339</v>
      </c>
      <c r="G563" s="5">
        <f t="shared" si="16"/>
        <v>7.1833333333333336</v>
      </c>
      <c r="H563" s="8">
        <f t="shared" si="17"/>
        <v>1.992361111111111</v>
      </c>
    </row>
    <row r="564" spans="1:8" x14ac:dyDescent="0.25">
      <c r="A564">
        <v>18</v>
      </c>
      <c r="B564" s="2">
        <v>44123</v>
      </c>
      <c r="C564" s="4">
        <v>0.35694444444444445</v>
      </c>
      <c r="D564" s="4">
        <v>0.50763888888888886</v>
      </c>
      <c r="E564" s="4">
        <v>0.56666666666666665</v>
      </c>
      <c r="F564" s="4">
        <v>0.68541666666666667</v>
      </c>
      <c r="G564" s="5">
        <f t="shared" si="16"/>
        <v>6.4666666666666668</v>
      </c>
      <c r="H564" s="8">
        <f t="shared" si="17"/>
        <v>1.9722222222222223</v>
      </c>
    </row>
    <row r="565" spans="1:8" x14ac:dyDescent="0.25">
      <c r="A565">
        <v>19</v>
      </c>
      <c r="B565" s="2">
        <v>44123</v>
      </c>
      <c r="C565" s="4">
        <v>0.3430555555555555</v>
      </c>
      <c r="D565" s="4">
        <v>0.49722222222222223</v>
      </c>
      <c r="E565" s="4">
        <v>0.57361111111111118</v>
      </c>
      <c r="F565" s="4">
        <v>0.70347222222222217</v>
      </c>
      <c r="G565" s="5">
        <f t="shared" si="16"/>
        <v>6.8166666666666647</v>
      </c>
      <c r="H565" s="8">
        <f t="shared" si="17"/>
        <v>0.97916666666666663</v>
      </c>
    </row>
    <row r="566" spans="1:8" x14ac:dyDescent="0.25">
      <c r="A566">
        <v>26</v>
      </c>
      <c r="B566" s="2">
        <v>44124</v>
      </c>
      <c r="C566" s="4">
        <v>0.36736111111111108</v>
      </c>
      <c r="D566" s="4">
        <v>0.5083333333333333</v>
      </c>
      <c r="E566" s="4">
        <v>0.55069444444444449</v>
      </c>
      <c r="F566" s="4">
        <v>0.6875</v>
      </c>
      <c r="G566" s="5">
        <f t="shared" si="16"/>
        <v>6.6666666666666661</v>
      </c>
      <c r="H566" s="8">
        <f t="shared" si="17"/>
        <v>1.9777777777777779</v>
      </c>
    </row>
    <row r="567" spans="1:8" x14ac:dyDescent="0.25">
      <c r="A567">
        <v>74</v>
      </c>
      <c r="B567" s="2">
        <v>44123</v>
      </c>
      <c r="C567" s="4">
        <v>0.38263888888888892</v>
      </c>
      <c r="D567" s="4">
        <v>0.49722222222222223</v>
      </c>
      <c r="E567" s="4">
        <v>0.5708333333333333</v>
      </c>
      <c r="F567" s="4">
        <v>0.69374999999999998</v>
      </c>
      <c r="G567" s="5">
        <f t="shared" si="16"/>
        <v>5.6999999999999993</v>
      </c>
      <c r="H567" s="8">
        <f t="shared" si="17"/>
        <v>1.942361111111111</v>
      </c>
    </row>
    <row r="568" spans="1:8" x14ac:dyDescent="0.25">
      <c r="A568">
        <v>28</v>
      </c>
      <c r="B568" s="2">
        <v>44124</v>
      </c>
      <c r="C568" s="4">
        <v>0.35000000000000003</v>
      </c>
      <c r="D568" s="4">
        <v>0.49791666666666662</v>
      </c>
      <c r="E568" s="4">
        <v>0.54861111111111105</v>
      </c>
      <c r="F568" s="4">
        <v>0.69166666666666676</v>
      </c>
      <c r="G568" s="5">
        <f t="shared" si="16"/>
        <v>6.9833333333333352</v>
      </c>
      <c r="H568" s="8">
        <f t="shared" si="17"/>
        <v>0.99722222222222223</v>
      </c>
    </row>
    <row r="569" spans="1:8" x14ac:dyDescent="0.25">
      <c r="A569">
        <v>43</v>
      </c>
      <c r="B569" s="2">
        <v>44124</v>
      </c>
      <c r="C569" s="4">
        <v>0.31944444444444448</v>
      </c>
      <c r="D569" s="4">
        <v>0.4993055555555555</v>
      </c>
      <c r="E569" s="4">
        <v>0.5625</v>
      </c>
      <c r="F569" s="4">
        <v>0.7006944444444444</v>
      </c>
      <c r="G569" s="5">
        <f t="shared" si="16"/>
        <v>7.6333333333333302</v>
      </c>
      <c r="H569" s="8">
        <f t="shared" si="17"/>
        <v>1.0138888888888888</v>
      </c>
    </row>
    <row r="570" spans="1:8" x14ac:dyDescent="0.25">
      <c r="A570">
        <v>52</v>
      </c>
      <c r="B570" s="2">
        <v>44123</v>
      </c>
      <c r="C570" s="4">
        <v>0.35069444444444442</v>
      </c>
      <c r="D570" s="4">
        <v>0.4993055555555555</v>
      </c>
      <c r="E570" s="4">
        <v>0.55902777777777779</v>
      </c>
      <c r="F570" s="4">
        <v>0.6972222222222223</v>
      </c>
      <c r="G570" s="5">
        <f t="shared" si="16"/>
        <v>6.8833333333333346</v>
      </c>
      <c r="H570" s="8">
        <f t="shared" si="17"/>
        <v>0.98611111111111116</v>
      </c>
    </row>
    <row r="571" spans="1:8" x14ac:dyDescent="0.25">
      <c r="A571">
        <v>33</v>
      </c>
      <c r="B571" s="2">
        <v>44125</v>
      </c>
      <c r="C571" s="4">
        <v>0.38541666666666669</v>
      </c>
      <c r="D571" s="4">
        <v>0.50069444444444444</v>
      </c>
      <c r="E571" s="4">
        <v>0.55069444444444449</v>
      </c>
      <c r="F571" s="4">
        <v>0.6958333333333333</v>
      </c>
      <c r="G571" s="5">
        <f t="shared" si="16"/>
        <v>6.2499999999999982</v>
      </c>
      <c r="H571" s="8">
        <f t="shared" si="17"/>
        <v>1.9597222222222221</v>
      </c>
    </row>
    <row r="572" spans="1:8" x14ac:dyDescent="0.25">
      <c r="A572">
        <v>3</v>
      </c>
      <c r="B572" s="2">
        <v>44125</v>
      </c>
      <c r="C572" s="4">
        <v>0.3611111111111111</v>
      </c>
      <c r="D572" s="4">
        <v>0.51388888888888895</v>
      </c>
      <c r="E572" s="4">
        <v>0.55833333333333335</v>
      </c>
      <c r="F572" s="4">
        <v>0.69374999999999998</v>
      </c>
      <c r="G572" s="5">
        <f t="shared" si="16"/>
        <v>6.9166666666666679</v>
      </c>
      <c r="H572" s="8">
        <f t="shared" si="17"/>
        <v>1.9763888888888888</v>
      </c>
    </row>
    <row r="573" spans="1:8" x14ac:dyDescent="0.25">
      <c r="A573">
        <v>88</v>
      </c>
      <c r="B573" s="2">
        <v>44126</v>
      </c>
      <c r="C573" s="4">
        <v>0.31388888888888888</v>
      </c>
      <c r="D573" s="4">
        <v>0.51111111111111118</v>
      </c>
      <c r="E573" s="4">
        <v>0.54305555555555551</v>
      </c>
      <c r="F573" s="4">
        <v>0.69791666666666663</v>
      </c>
      <c r="G573" s="5">
        <f t="shared" si="16"/>
        <v>8.4500000000000028</v>
      </c>
      <c r="H573" s="8">
        <f t="shared" si="17"/>
        <v>1.038888888888889</v>
      </c>
    </row>
    <row r="574" spans="1:8" x14ac:dyDescent="0.25">
      <c r="A574">
        <v>18</v>
      </c>
      <c r="B574" s="2">
        <v>44124</v>
      </c>
      <c r="C574" s="4">
        <v>0.31388888888888888</v>
      </c>
      <c r="D574" s="4">
        <v>0.52013888888888882</v>
      </c>
      <c r="E574" s="4">
        <v>0.56319444444444444</v>
      </c>
      <c r="F574" s="4">
        <v>0.69374999999999998</v>
      </c>
      <c r="G574" s="5">
        <f t="shared" si="16"/>
        <v>8.0833333333333321</v>
      </c>
      <c r="H574" s="8">
        <f t="shared" si="17"/>
        <v>1.01875</v>
      </c>
    </row>
    <row r="575" spans="1:8" x14ac:dyDescent="0.25">
      <c r="A575">
        <v>35</v>
      </c>
      <c r="B575" s="2">
        <v>44125</v>
      </c>
      <c r="C575" s="4">
        <v>0.31666666666666665</v>
      </c>
      <c r="D575" s="4">
        <v>0.49791666666666662</v>
      </c>
      <c r="E575" s="4">
        <v>0.55486111111111114</v>
      </c>
      <c r="F575" s="4">
        <v>0.69027777777777777</v>
      </c>
      <c r="G575" s="5">
        <f t="shared" si="16"/>
        <v>7.5999999999999988</v>
      </c>
      <c r="H575" s="8">
        <f t="shared" si="17"/>
        <v>1.0243055555555556</v>
      </c>
    </row>
    <row r="576" spans="1:8" x14ac:dyDescent="0.25">
      <c r="A576">
        <v>4</v>
      </c>
      <c r="B576" s="2">
        <v>44124</v>
      </c>
      <c r="C576" s="4">
        <v>0.33055555555555555</v>
      </c>
      <c r="D576" s="4">
        <v>0.50069444444444444</v>
      </c>
      <c r="E576" s="4">
        <v>0.57916666666666672</v>
      </c>
      <c r="F576" s="4">
        <v>0.70000000000000007</v>
      </c>
      <c r="G576" s="5">
        <f t="shared" si="16"/>
        <v>6.9833333333333343</v>
      </c>
      <c r="H576" s="8">
        <f t="shared" si="17"/>
        <v>0.98611111111111105</v>
      </c>
    </row>
    <row r="577" spans="1:8" x14ac:dyDescent="0.25">
      <c r="A577">
        <v>62</v>
      </c>
      <c r="B577" s="2">
        <v>44123</v>
      </c>
      <c r="C577" s="4">
        <v>0.32291666666666669</v>
      </c>
      <c r="D577" s="4">
        <v>0.50902777777777775</v>
      </c>
      <c r="E577" s="4">
        <v>0.57847222222222217</v>
      </c>
      <c r="F577" s="4">
        <v>0.6972222222222223</v>
      </c>
      <c r="G577" s="5">
        <f t="shared" si="16"/>
        <v>7.3166666666666682</v>
      </c>
      <c r="H577" s="8">
        <f t="shared" si="17"/>
        <v>0.99444444444444446</v>
      </c>
    </row>
    <row r="578" spans="1:8" x14ac:dyDescent="0.25">
      <c r="A578">
        <v>7</v>
      </c>
      <c r="B578" s="2">
        <v>44125</v>
      </c>
      <c r="C578" s="4">
        <v>0.3444444444444445</v>
      </c>
      <c r="D578" s="4">
        <v>0.5180555555555556</v>
      </c>
      <c r="E578" s="4">
        <v>0.5541666666666667</v>
      </c>
      <c r="F578" s="4">
        <v>0.69652777777777775</v>
      </c>
      <c r="G578" s="5">
        <f t="shared" si="16"/>
        <v>7.5833333333333313</v>
      </c>
      <c r="H578" s="8">
        <f t="shared" si="17"/>
        <v>0.99722222222222212</v>
      </c>
    </row>
    <row r="579" spans="1:8" x14ac:dyDescent="0.25">
      <c r="A579">
        <v>68</v>
      </c>
      <c r="B579" s="2">
        <v>44123</v>
      </c>
      <c r="C579" s="4">
        <v>0.32847222222222222</v>
      </c>
      <c r="D579" s="4">
        <v>0.49652777777777773</v>
      </c>
      <c r="E579" s="4">
        <v>0.54652777777777783</v>
      </c>
      <c r="F579" s="4">
        <v>0.7006944444444444</v>
      </c>
      <c r="G579" s="5">
        <f t="shared" si="16"/>
        <v>7.7333333333333298</v>
      </c>
      <c r="H579" s="8">
        <f t="shared" si="17"/>
        <v>1.0208333333333333</v>
      </c>
    </row>
    <row r="580" spans="1:8" x14ac:dyDescent="0.25">
      <c r="A580">
        <v>75</v>
      </c>
      <c r="B580" s="2">
        <v>44125</v>
      </c>
      <c r="C580" s="4">
        <v>0.3666666666666667</v>
      </c>
      <c r="D580" s="4">
        <v>0.50902777777777775</v>
      </c>
      <c r="E580" s="4">
        <v>0.56319444444444444</v>
      </c>
      <c r="F580" s="4">
        <v>0.68819444444444444</v>
      </c>
      <c r="G580" s="5">
        <f t="shared" si="16"/>
        <v>6.4166666666666652</v>
      </c>
      <c r="H580" s="8">
        <f t="shared" si="17"/>
        <v>1.9659722222222222</v>
      </c>
    </row>
    <row r="581" spans="1:8" x14ac:dyDescent="0.25">
      <c r="A581">
        <v>49</v>
      </c>
      <c r="B581" s="2">
        <v>44126</v>
      </c>
      <c r="C581" s="4">
        <v>0.3611111111111111</v>
      </c>
      <c r="D581" s="4">
        <v>0.51250000000000007</v>
      </c>
      <c r="E581" s="4">
        <v>0.55069444444444449</v>
      </c>
      <c r="F581" s="4">
        <v>0.69513888888888886</v>
      </c>
      <c r="G581" s="5">
        <f t="shared" si="16"/>
        <v>7.1</v>
      </c>
      <c r="H581" s="8">
        <f t="shared" si="17"/>
        <v>1.9840277777777777</v>
      </c>
    </row>
    <row r="582" spans="1:8" x14ac:dyDescent="0.25">
      <c r="A582">
        <v>15</v>
      </c>
      <c r="B582" s="2">
        <v>44123</v>
      </c>
      <c r="C582" s="4">
        <v>0.3520833333333333</v>
      </c>
      <c r="D582" s="4">
        <v>0.5083333333333333</v>
      </c>
      <c r="E582" s="4">
        <v>0.57638888888888895</v>
      </c>
      <c r="F582" s="4">
        <v>0.69861111111111107</v>
      </c>
      <c r="G582" s="5">
        <f t="shared" si="16"/>
        <v>6.6833333333333309</v>
      </c>
      <c r="H582" s="8">
        <f t="shared" si="17"/>
        <v>0.96736111111111112</v>
      </c>
    </row>
    <row r="583" spans="1:8" x14ac:dyDescent="0.25">
      <c r="A583">
        <v>40</v>
      </c>
      <c r="B583" s="2">
        <v>44126</v>
      </c>
      <c r="C583" s="4">
        <v>0.36874999999999997</v>
      </c>
      <c r="D583" s="4">
        <v>0.51527777777777783</v>
      </c>
      <c r="E583" s="4">
        <v>0.57222222222222219</v>
      </c>
      <c r="F583" s="4">
        <v>0.6958333333333333</v>
      </c>
      <c r="G583" s="5">
        <f t="shared" si="16"/>
        <v>6.4833333333333361</v>
      </c>
      <c r="H583" s="8">
        <f t="shared" si="17"/>
        <v>1.9548611111111112</v>
      </c>
    </row>
    <row r="584" spans="1:8" x14ac:dyDescent="0.25">
      <c r="A584">
        <v>67</v>
      </c>
      <c r="B584" s="2">
        <v>44126</v>
      </c>
      <c r="C584" s="4">
        <v>0.3833333333333333</v>
      </c>
      <c r="D584" s="4">
        <v>0.50347222222222221</v>
      </c>
      <c r="E584" s="4">
        <v>0.54236111111111118</v>
      </c>
      <c r="F584" s="4">
        <v>0.69374999999999998</v>
      </c>
      <c r="G584" s="5">
        <f t="shared" ref="G584:G647" si="18">((D584-C584)*24)+((F584-E584)*24)</f>
        <v>6.5166666666666648</v>
      </c>
      <c r="H584" s="8">
        <f t="shared" ref="H584:H647" si="19">MOD((TIME(8,30,0)-C584),1)+MOD((TIME(13,0,0)-E584),1)</f>
        <v>1.9701388888888889</v>
      </c>
    </row>
    <row r="585" spans="1:8" x14ac:dyDescent="0.25">
      <c r="A585">
        <v>28</v>
      </c>
      <c r="B585" s="2">
        <v>44124</v>
      </c>
      <c r="C585" s="4">
        <v>0.31666666666666665</v>
      </c>
      <c r="D585" s="4">
        <v>0.51527777777777783</v>
      </c>
      <c r="E585" s="4">
        <v>0.56736111111111109</v>
      </c>
      <c r="F585" s="4">
        <v>0.70138888888888884</v>
      </c>
      <c r="G585" s="5">
        <f t="shared" si="18"/>
        <v>7.9833333333333343</v>
      </c>
      <c r="H585" s="8">
        <f t="shared" si="19"/>
        <v>1.0118055555555556</v>
      </c>
    </row>
    <row r="586" spans="1:8" x14ac:dyDescent="0.25">
      <c r="A586">
        <v>10</v>
      </c>
      <c r="B586" s="2">
        <v>44124</v>
      </c>
      <c r="C586" s="4">
        <v>0.37083333333333335</v>
      </c>
      <c r="D586" s="4">
        <v>0.52013888888888882</v>
      </c>
      <c r="E586" s="4">
        <v>0.57222222222222219</v>
      </c>
      <c r="F586" s="4">
        <v>0.70000000000000007</v>
      </c>
      <c r="G586" s="5">
        <f t="shared" si="18"/>
        <v>6.65</v>
      </c>
      <c r="H586" s="8">
        <f t="shared" si="19"/>
        <v>1.9527777777777779</v>
      </c>
    </row>
    <row r="587" spans="1:8" x14ac:dyDescent="0.25">
      <c r="A587">
        <v>76</v>
      </c>
      <c r="B587" s="2">
        <v>44124</v>
      </c>
      <c r="C587" s="4">
        <v>0.3520833333333333</v>
      </c>
      <c r="D587" s="4">
        <v>0.51874999999999993</v>
      </c>
      <c r="E587" s="4">
        <v>0.55486111111111114</v>
      </c>
      <c r="F587" s="4">
        <v>0.69930555555555562</v>
      </c>
      <c r="G587" s="5">
        <f t="shared" si="18"/>
        <v>7.4666666666666668</v>
      </c>
      <c r="H587" s="8">
        <f t="shared" si="19"/>
        <v>0.98888888888888893</v>
      </c>
    </row>
    <row r="588" spans="1:8" x14ac:dyDescent="0.25">
      <c r="A588">
        <v>73</v>
      </c>
      <c r="B588" s="2">
        <v>44123</v>
      </c>
      <c r="C588" s="4">
        <v>0.375</v>
      </c>
      <c r="D588" s="4">
        <v>0.5083333333333333</v>
      </c>
      <c r="E588" s="4">
        <v>0.56111111111111112</v>
      </c>
      <c r="F588" s="4">
        <v>0.68819444444444444</v>
      </c>
      <c r="G588" s="5">
        <f t="shared" si="18"/>
        <v>6.2499999999999991</v>
      </c>
      <c r="H588" s="8">
        <f t="shared" si="19"/>
        <v>1.9597222222222221</v>
      </c>
    </row>
    <row r="589" spans="1:8" x14ac:dyDescent="0.25">
      <c r="A589">
        <v>19</v>
      </c>
      <c r="B589" s="2">
        <v>44126</v>
      </c>
      <c r="C589" s="4">
        <v>0.37222222222222223</v>
      </c>
      <c r="D589" s="4">
        <v>0.51041666666666663</v>
      </c>
      <c r="E589" s="4">
        <v>0.54236111111111118</v>
      </c>
      <c r="F589" s="4">
        <v>0.70138888888888884</v>
      </c>
      <c r="G589" s="5">
        <f t="shared" si="18"/>
        <v>7.1333333333333293</v>
      </c>
      <c r="H589" s="8">
        <f t="shared" si="19"/>
        <v>1.98125</v>
      </c>
    </row>
    <row r="590" spans="1:8" x14ac:dyDescent="0.25">
      <c r="A590">
        <v>95</v>
      </c>
      <c r="B590" s="2">
        <v>44124</v>
      </c>
      <c r="C590" s="4">
        <v>0.37708333333333338</v>
      </c>
      <c r="D590" s="4">
        <v>0.51180555555555551</v>
      </c>
      <c r="E590" s="4">
        <v>0.54305555555555551</v>
      </c>
      <c r="F590" s="4">
        <v>0.68541666666666667</v>
      </c>
      <c r="G590" s="5">
        <f t="shared" si="18"/>
        <v>6.6499999999999986</v>
      </c>
      <c r="H590" s="8">
        <f t="shared" si="19"/>
        <v>1.9756944444444444</v>
      </c>
    </row>
    <row r="591" spans="1:8" x14ac:dyDescent="0.25">
      <c r="A591">
        <v>9</v>
      </c>
      <c r="B591" s="2">
        <v>44123</v>
      </c>
      <c r="C591" s="4">
        <v>0.31458333333333333</v>
      </c>
      <c r="D591" s="4">
        <v>0.5</v>
      </c>
      <c r="E591" s="4">
        <v>0.54652777777777783</v>
      </c>
      <c r="F591" s="4">
        <v>0.69444444444444453</v>
      </c>
      <c r="G591" s="5">
        <f t="shared" si="18"/>
        <v>8</v>
      </c>
      <c r="H591" s="8">
        <f t="shared" si="19"/>
        <v>1.0347222222222221</v>
      </c>
    </row>
    <row r="592" spans="1:8" x14ac:dyDescent="0.25">
      <c r="A592">
        <v>40</v>
      </c>
      <c r="B592" s="2">
        <v>44124</v>
      </c>
      <c r="C592" s="4">
        <v>0.36180555555555555</v>
      </c>
      <c r="D592" s="4">
        <v>0.52013888888888882</v>
      </c>
      <c r="E592" s="4">
        <v>0.56597222222222221</v>
      </c>
      <c r="F592" s="4">
        <v>0.69513888888888886</v>
      </c>
      <c r="G592" s="5">
        <f t="shared" si="18"/>
        <v>6.8999999999999986</v>
      </c>
      <c r="H592" s="8">
        <f t="shared" si="19"/>
        <v>1.9680555555555554</v>
      </c>
    </row>
    <row r="593" spans="1:8" x14ac:dyDescent="0.25">
      <c r="A593">
        <v>78</v>
      </c>
      <c r="B593" s="2">
        <v>44125</v>
      </c>
      <c r="C593" s="4">
        <v>0.32222222222222224</v>
      </c>
      <c r="D593" s="4">
        <v>0.51250000000000007</v>
      </c>
      <c r="E593" s="4">
        <v>0.5541666666666667</v>
      </c>
      <c r="F593" s="4">
        <v>0.69513888888888886</v>
      </c>
      <c r="G593" s="5">
        <f t="shared" si="18"/>
        <v>7.95</v>
      </c>
      <c r="H593" s="8">
        <f t="shared" si="19"/>
        <v>1.0194444444444444</v>
      </c>
    </row>
    <row r="594" spans="1:8" x14ac:dyDescent="0.25">
      <c r="A594">
        <v>10</v>
      </c>
      <c r="B594" s="2">
        <v>44123</v>
      </c>
      <c r="C594" s="4">
        <v>0.32013888888888892</v>
      </c>
      <c r="D594" s="4">
        <v>0.51666666666666672</v>
      </c>
      <c r="E594" s="4">
        <v>0.55902777777777779</v>
      </c>
      <c r="F594" s="4">
        <v>0.6958333333333333</v>
      </c>
      <c r="G594" s="5">
        <f t="shared" si="18"/>
        <v>7.9999999999999991</v>
      </c>
      <c r="H594" s="8">
        <f t="shared" si="19"/>
        <v>1.0166666666666666</v>
      </c>
    </row>
    <row r="595" spans="1:8" x14ac:dyDescent="0.25">
      <c r="A595">
        <v>92</v>
      </c>
      <c r="B595" s="2">
        <v>44126</v>
      </c>
      <c r="C595" s="4">
        <v>0.3520833333333333</v>
      </c>
      <c r="D595" s="4">
        <v>0.50069444444444444</v>
      </c>
      <c r="E595" s="4">
        <v>0.56041666666666667</v>
      </c>
      <c r="F595" s="4">
        <v>0.68472222222222223</v>
      </c>
      <c r="G595" s="5">
        <f t="shared" si="18"/>
        <v>6.5500000000000007</v>
      </c>
      <c r="H595" s="8">
        <f t="shared" si="19"/>
        <v>0.98333333333333339</v>
      </c>
    </row>
    <row r="596" spans="1:8" x14ac:dyDescent="0.25">
      <c r="A596">
        <v>31</v>
      </c>
      <c r="B596" s="2">
        <v>44123</v>
      </c>
      <c r="C596" s="4">
        <v>0.31319444444444444</v>
      </c>
      <c r="D596" s="4">
        <v>0.4993055555555555</v>
      </c>
      <c r="E596" s="4">
        <v>0.57222222222222219</v>
      </c>
      <c r="F596" s="4">
        <v>0.69652777777777775</v>
      </c>
      <c r="G596" s="5">
        <f t="shared" si="18"/>
        <v>7.4499999999999984</v>
      </c>
      <c r="H596" s="8">
        <f t="shared" si="19"/>
        <v>1.0104166666666667</v>
      </c>
    </row>
    <row r="597" spans="1:8" x14ac:dyDescent="0.25">
      <c r="A597">
        <v>15</v>
      </c>
      <c r="B597" s="2">
        <v>44124</v>
      </c>
      <c r="C597" s="4">
        <v>0.37638888888888888</v>
      </c>
      <c r="D597" s="4">
        <v>0.51111111111111118</v>
      </c>
      <c r="E597" s="4">
        <v>0.5708333333333333</v>
      </c>
      <c r="F597" s="4">
        <v>0.70208333333333339</v>
      </c>
      <c r="G597" s="5">
        <f t="shared" si="18"/>
        <v>6.3833333333333373</v>
      </c>
      <c r="H597" s="8">
        <f t="shared" si="19"/>
        <v>1.9486111111111111</v>
      </c>
    </row>
    <row r="598" spans="1:8" x14ac:dyDescent="0.25">
      <c r="A598">
        <v>15</v>
      </c>
      <c r="B598" s="2">
        <v>44125</v>
      </c>
      <c r="C598" s="4">
        <v>0.3659722222222222</v>
      </c>
      <c r="D598" s="4">
        <v>0.51874999999999993</v>
      </c>
      <c r="E598" s="4">
        <v>0.57847222222222217</v>
      </c>
      <c r="F598" s="4">
        <v>0.6972222222222223</v>
      </c>
      <c r="G598" s="5">
        <f t="shared" si="18"/>
        <v>6.5166666666666693</v>
      </c>
      <c r="H598" s="8">
        <f t="shared" si="19"/>
        <v>1.9513888888888888</v>
      </c>
    </row>
    <row r="599" spans="1:8" x14ac:dyDescent="0.25">
      <c r="A599">
        <v>89</v>
      </c>
      <c r="B599" s="2">
        <v>44125</v>
      </c>
      <c r="C599" s="4">
        <v>0.375</v>
      </c>
      <c r="D599" s="4">
        <v>0.51527777777777783</v>
      </c>
      <c r="E599" s="4">
        <v>0.56180555555555556</v>
      </c>
      <c r="F599" s="4">
        <v>0.69374999999999998</v>
      </c>
      <c r="G599" s="5">
        <f t="shared" si="18"/>
        <v>6.5333333333333341</v>
      </c>
      <c r="H599" s="8">
        <f t="shared" si="19"/>
        <v>1.9590277777777778</v>
      </c>
    </row>
    <row r="600" spans="1:8" x14ac:dyDescent="0.25">
      <c r="A600">
        <v>22</v>
      </c>
      <c r="B600" s="2">
        <v>44125</v>
      </c>
      <c r="C600" s="4">
        <v>0.36180555555555555</v>
      </c>
      <c r="D600" s="4">
        <v>0.51874999999999993</v>
      </c>
      <c r="E600" s="4">
        <v>0.55833333333333335</v>
      </c>
      <c r="F600" s="4">
        <v>0.68888888888888899</v>
      </c>
      <c r="G600" s="5">
        <f t="shared" si="18"/>
        <v>6.9</v>
      </c>
      <c r="H600" s="8">
        <f t="shared" si="19"/>
        <v>1.9756944444444444</v>
      </c>
    </row>
    <row r="601" spans="1:8" x14ac:dyDescent="0.25">
      <c r="A601">
        <v>9</v>
      </c>
      <c r="B601" s="2">
        <v>44124</v>
      </c>
      <c r="C601" s="4">
        <v>0.32777777777777778</v>
      </c>
      <c r="D601" s="4">
        <v>0.51041666666666663</v>
      </c>
      <c r="E601" s="4">
        <v>0.55347222222222225</v>
      </c>
      <c r="F601" s="4">
        <v>0.68541666666666667</v>
      </c>
      <c r="G601" s="5">
        <f t="shared" si="18"/>
        <v>7.5499999999999989</v>
      </c>
      <c r="H601" s="8">
        <f t="shared" si="19"/>
        <v>1.0145833333333334</v>
      </c>
    </row>
    <row r="602" spans="1:8" x14ac:dyDescent="0.25">
      <c r="A602">
        <v>57</v>
      </c>
      <c r="B602" s="2">
        <v>44125</v>
      </c>
      <c r="C602" s="4">
        <v>0.36041666666666666</v>
      </c>
      <c r="D602" s="4">
        <v>0.51527777777777783</v>
      </c>
      <c r="E602" s="4">
        <v>0.56388888888888888</v>
      </c>
      <c r="F602" s="4">
        <v>0.69791666666666663</v>
      </c>
      <c r="G602" s="5">
        <f t="shared" si="18"/>
        <v>6.9333333333333336</v>
      </c>
      <c r="H602" s="8">
        <f t="shared" si="19"/>
        <v>1.9715277777777778</v>
      </c>
    </row>
    <row r="603" spans="1:8" x14ac:dyDescent="0.25">
      <c r="A603">
        <v>26</v>
      </c>
      <c r="B603" s="2">
        <v>44125</v>
      </c>
      <c r="C603" s="4">
        <v>0.37986111111111115</v>
      </c>
      <c r="D603" s="4">
        <v>0.50555555555555554</v>
      </c>
      <c r="E603" s="4">
        <v>0.5493055555555556</v>
      </c>
      <c r="F603" s="4">
        <v>0.7006944444444444</v>
      </c>
      <c r="G603" s="5">
        <f t="shared" si="18"/>
        <v>6.6499999999999968</v>
      </c>
      <c r="H603" s="8">
        <f t="shared" si="19"/>
        <v>1.9666666666666666</v>
      </c>
    </row>
    <row r="604" spans="1:8" x14ac:dyDescent="0.25">
      <c r="A604">
        <v>78</v>
      </c>
      <c r="B604" s="2">
        <v>44126</v>
      </c>
      <c r="C604" s="4">
        <v>0.34652777777777777</v>
      </c>
      <c r="D604" s="4">
        <v>0.51250000000000007</v>
      </c>
      <c r="E604" s="4">
        <v>0.57638888888888895</v>
      </c>
      <c r="F604" s="4">
        <v>0.68541666666666667</v>
      </c>
      <c r="G604" s="5">
        <f t="shared" si="18"/>
        <v>6.6000000000000005</v>
      </c>
      <c r="H604" s="8">
        <f t="shared" si="19"/>
        <v>0.97291666666666665</v>
      </c>
    </row>
    <row r="605" spans="1:8" x14ac:dyDescent="0.25">
      <c r="A605">
        <v>48</v>
      </c>
      <c r="B605" s="2">
        <v>44124</v>
      </c>
      <c r="C605" s="4">
        <v>0.3666666666666667</v>
      </c>
      <c r="D605" s="4">
        <v>0.51736111111111105</v>
      </c>
      <c r="E605" s="4">
        <v>0.56388888888888888</v>
      </c>
      <c r="F605" s="4">
        <v>0.70347222222222217</v>
      </c>
      <c r="G605" s="5">
        <f t="shared" si="18"/>
        <v>6.9666666666666632</v>
      </c>
      <c r="H605" s="8">
        <f t="shared" si="19"/>
        <v>1.9652777777777777</v>
      </c>
    </row>
    <row r="606" spans="1:8" x14ac:dyDescent="0.25">
      <c r="A606">
        <v>59</v>
      </c>
      <c r="B606" s="2">
        <v>44123</v>
      </c>
      <c r="C606" s="4">
        <v>0.38819444444444445</v>
      </c>
      <c r="D606" s="4">
        <v>0.49861111111111112</v>
      </c>
      <c r="E606" s="4">
        <v>0.55694444444444446</v>
      </c>
      <c r="F606" s="4">
        <v>0.69374999999999998</v>
      </c>
      <c r="G606" s="5">
        <f t="shared" si="18"/>
        <v>5.9333333333333318</v>
      </c>
      <c r="H606" s="8">
        <f t="shared" si="19"/>
        <v>1.9506944444444443</v>
      </c>
    </row>
    <row r="607" spans="1:8" x14ac:dyDescent="0.25">
      <c r="A607">
        <v>66</v>
      </c>
      <c r="B607" s="2">
        <v>44125</v>
      </c>
      <c r="C607" s="4">
        <v>0.34375</v>
      </c>
      <c r="D607" s="4">
        <v>0.51250000000000007</v>
      </c>
      <c r="E607" s="4">
        <v>0.55347222222222225</v>
      </c>
      <c r="F607" s="4">
        <v>0.70000000000000007</v>
      </c>
      <c r="G607" s="5">
        <f t="shared" si="18"/>
        <v>7.5666666666666691</v>
      </c>
      <c r="H607" s="8">
        <f t="shared" si="19"/>
        <v>0.99861111111111112</v>
      </c>
    </row>
    <row r="608" spans="1:8" x14ac:dyDescent="0.25">
      <c r="A608">
        <v>71</v>
      </c>
      <c r="B608" s="2">
        <v>44123</v>
      </c>
      <c r="C608" s="4">
        <v>0.35694444444444445</v>
      </c>
      <c r="D608" s="4">
        <v>0.51736111111111105</v>
      </c>
      <c r="E608" s="4">
        <v>0.54305555555555551</v>
      </c>
      <c r="F608" s="4">
        <v>0.6972222222222223</v>
      </c>
      <c r="G608" s="5">
        <f t="shared" si="18"/>
        <v>7.5500000000000007</v>
      </c>
      <c r="H608" s="8">
        <f t="shared" si="19"/>
        <v>1.9958333333333333</v>
      </c>
    </row>
    <row r="609" spans="1:8" x14ac:dyDescent="0.25">
      <c r="A609">
        <v>72</v>
      </c>
      <c r="B609" s="2">
        <v>44125</v>
      </c>
      <c r="C609" s="4">
        <v>0.31319444444444444</v>
      </c>
      <c r="D609" s="4">
        <v>0.50486111111111109</v>
      </c>
      <c r="E609" s="4">
        <v>0.54999999999999993</v>
      </c>
      <c r="F609" s="4">
        <v>0.6875</v>
      </c>
      <c r="G609" s="5">
        <f t="shared" si="18"/>
        <v>7.9000000000000012</v>
      </c>
      <c r="H609" s="8">
        <f t="shared" si="19"/>
        <v>1.0326388888888889</v>
      </c>
    </row>
    <row r="610" spans="1:8" x14ac:dyDescent="0.25">
      <c r="A610">
        <v>69</v>
      </c>
      <c r="B610" s="2">
        <v>44123</v>
      </c>
      <c r="C610" s="4">
        <v>0.36874999999999997</v>
      </c>
      <c r="D610" s="4">
        <v>0.51874999999999993</v>
      </c>
      <c r="E610" s="4">
        <v>0.55069444444444449</v>
      </c>
      <c r="F610" s="4">
        <v>0.7006944444444444</v>
      </c>
      <c r="G610" s="5">
        <f t="shared" si="18"/>
        <v>7.1999999999999975</v>
      </c>
      <c r="H610" s="8">
        <f t="shared" si="19"/>
        <v>1.9763888888888888</v>
      </c>
    </row>
    <row r="611" spans="1:8" x14ac:dyDescent="0.25">
      <c r="A611">
        <v>18</v>
      </c>
      <c r="B611" s="2">
        <v>44123</v>
      </c>
      <c r="C611" s="4">
        <v>0.3444444444444445</v>
      </c>
      <c r="D611" s="4">
        <v>0.51597222222222217</v>
      </c>
      <c r="E611" s="4">
        <v>0.57013888888888886</v>
      </c>
      <c r="F611" s="4">
        <v>0.68680555555555556</v>
      </c>
      <c r="G611" s="5">
        <f t="shared" si="18"/>
        <v>6.9166666666666643</v>
      </c>
      <c r="H611" s="8">
        <f t="shared" si="19"/>
        <v>0.98124999999999996</v>
      </c>
    </row>
    <row r="612" spans="1:8" x14ac:dyDescent="0.25">
      <c r="A612">
        <v>49</v>
      </c>
      <c r="B612" s="2">
        <v>44126</v>
      </c>
      <c r="C612" s="4">
        <v>0.37083333333333335</v>
      </c>
      <c r="D612" s="4">
        <v>0.49652777777777773</v>
      </c>
      <c r="E612" s="4">
        <v>0.5708333333333333</v>
      </c>
      <c r="F612" s="4">
        <v>0.69652777777777775</v>
      </c>
      <c r="G612" s="5">
        <f t="shared" si="18"/>
        <v>6.0333333333333314</v>
      </c>
      <c r="H612" s="8">
        <f t="shared" si="19"/>
        <v>1.9541666666666666</v>
      </c>
    </row>
    <row r="613" spans="1:8" x14ac:dyDescent="0.25">
      <c r="A613">
        <v>17</v>
      </c>
      <c r="B613" s="2">
        <v>44126</v>
      </c>
      <c r="C613" s="4">
        <v>0.34097222222222223</v>
      </c>
      <c r="D613" s="4">
        <v>0.51388888888888895</v>
      </c>
      <c r="E613" s="4">
        <v>0.57708333333333328</v>
      </c>
      <c r="F613" s="4">
        <v>0.69513888888888886</v>
      </c>
      <c r="G613" s="5">
        <f t="shared" si="18"/>
        <v>6.9833333333333352</v>
      </c>
      <c r="H613" s="8">
        <f t="shared" si="19"/>
        <v>0.97777777777777786</v>
      </c>
    </row>
    <row r="614" spans="1:8" x14ac:dyDescent="0.25">
      <c r="A614">
        <v>35</v>
      </c>
      <c r="B614" s="2">
        <v>44124</v>
      </c>
      <c r="C614" s="4">
        <v>0.36319444444444443</v>
      </c>
      <c r="D614" s="4">
        <v>0.49722222222222223</v>
      </c>
      <c r="E614" s="4">
        <v>0.57361111111111118</v>
      </c>
      <c r="F614" s="4">
        <v>0.69444444444444453</v>
      </c>
      <c r="G614" s="5">
        <f t="shared" si="18"/>
        <v>6.1166666666666671</v>
      </c>
      <c r="H614" s="8">
        <f t="shared" si="19"/>
        <v>1.9590277777777776</v>
      </c>
    </row>
    <row r="615" spans="1:8" x14ac:dyDescent="0.25">
      <c r="A615">
        <v>18</v>
      </c>
      <c r="B615" s="2">
        <v>44126</v>
      </c>
      <c r="C615" s="4">
        <v>0.37916666666666665</v>
      </c>
      <c r="D615" s="4">
        <v>0.51250000000000007</v>
      </c>
      <c r="E615" s="4">
        <v>0.5541666666666667</v>
      </c>
      <c r="F615" s="4">
        <v>0.6972222222222223</v>
      </c>
      <c r="G615" s="5">
        <f t="shared" si="18"/>
        <v>6.6333333333333364</v>
      </c>
      <c r="H615" s="8">
        <f t="shared" si="19"/>
        <v>1.9624999999999999</v>
      </c>
    </row>
    <row r="616" spans="1:8" x14ac:dyDescent="0.25">
      <c r="A616">
        <v>38</v>
      </c>
      <c r="B616" s="2">
        <v>44125</v>
      </c>
      <c r="C616" s="4">
        <v>0.34513888888888888</v>
      </c>
      <c r="D616" s="4">
        <v>0.49722222222222223</v>
      </c>
      <c r="E616" s="4">
        <v>0.56527777777777777</v>
      </c>
      <c r="F616" s="4">
        <v>0.6972222222222223</v>
      </c>
      <c r="G616" s="5">
        <f t="shared" si="18"/>
        <v>6.8166666666666691</v>
      </c>
      <c r="H616" s="8">
        <f t="shared" si="19"/>
        <v>0.98541666666666661</v>
      </c>
    </row>
    <row r="617" spans="1:8" x14ac:dyDescent="0.25">
      <c r="A617">
        <v>52</v>
      </c>
      <c r="B617" s="2">
        <v>44125</v>
      </c>
      <c r="C617" s="4">
        <v>0.32083333333333336</v>
      </c>
      <c r="D617" s="4">
        <v>0.50972222222222219</v>
      </c>
      <c r="E617" s="4">
        <v>0.56388888888888888</v>
      </c>
      <c r="F617" s="4">
        <v>0.7006944444444444</v>
      </c>
      <c r="G617" s="5">
        <f t="shared" si="18"/>
        <v>7.8166666666666638</v>
      </c>
      <c r="H617" s="8">
        <f t="shared" si="19"/>
        <v>1.0111111111111111</v>
      </c>
    </row>
    <row r="618" spans="1:8" x14ac:dyDescent="0.25">
      <c r="A618">
        <v>80</v>
      </c>
      <c r="B618" s="2">
        <v>44124</v>
      </c>
      <c r="C618" s="4">
        <v>0.32777777777777778</v>
      </c>
      <c r="D618" s="4">
        <v>0.50138888888888888</v>
      </c>
      <c r="E618" s="4">
        <v>0.55138888888888882</v>
      </c>
      <c r="F618" s="4">
        <v>0.69444444444444453</v>
      </c>
      <c r="G618" s="5">
        <f t="shared" si="18"/>
        <v>7.6000000000000032</v>
      </c>
      <c r="H618" s="8">
        <f t="shared" si="19"/>
        <v>1.0166666666666666</v>
      </c>
    </row>
    <row r="619" spans="1:8" x14ac:dyDescent="0.25">
      <c r="A619">
        <v>71</v>
      </c>
      <c r="B619" s="2">
        <v>44125</v>
      </c>
      <c r="C619" s="4">
        <v>0.37291666666666662</v>
      </c>
      <c r="D619" s="4">
        <v>0.49722222222222223</v>
      </c>
      <c r="E619" s="4">
        <v>0.55069444444444449</v>
      </c>
      <c r="F619" s="4">
        <v>0.7006944444444444</v>
      </c>
      <c r="G619" s="5">
        <f t="shared" si="18"/>
        <v>6.5833333333333321</v>
      </c>
      <c r="H619" s="8">
        <f t="shared" si="19"/>
        <v>1.9722222222222223</v>
      </c>
    </row>
    <row r="620" spans="1:8" x14ac:dyDescent="0.25">
      <c r="A620">
        <v>54</v>
      </c>
      <c r="B620" s="2">
        <v>44123</v>
      </c>
      <c r="C620" s="4">
        <v>0.32569444444444445</v>
      </c>
      <c r="D620" s="4">
        <v>0.51874999999999993</v>
      </c>
      <c r="E620" s="4">
        <v>0.57361111111111118</v>
      </c>
      <c r="F620" s="4">
        <v>0.70416666666666661</v>
      </c>
      <c r="G620" s="5">
        <f t="shared" si="18"/>
        <v>7.7666666666666613</v>
      </c>
      <c r="H620" s="8">
        <f t="shared" si="19"/>
        <v>0.99652777777777768</v>
      </c>
    </row>
    <row r="621" spans="1:8" x14ac:dyDescent="0.25">
      <c r="A621">
        <v>49</v>
      </c>
      <c r="B621" s="2">
        <v>44126</v>
      </c>
      <c r="C621" s="4">
        <v>0.36736111111111108</v>
      </c>
      <c r="D621" s="4">
        <v>0.5083333333333333</v>
      </c>
      <c r="E621" s="4">
        <v>0.56805555555555554</v>
      </c>
      <c r="F621" s="4">
        <v>0.6875</v>
      </c>
      <c r="G621" s="5">
        <f t="shared" si="18"/>
        <v>6.25</v>
      </c>
      <c r="H621" s="8">
        <f t="shared" si="19"/>
        <v>1.9604166666666667</v>
      </c>
    </row>
    <row r="622" spans="1:8" x14ac:dyDescent="0.25">
      <c r="A622">
        <v>27</v>
      </c>
      <c r="B622" s="2">
        <v>44123</v>
      </c>
      <c r="C622" s="4">
        <v>0.35833333333333334</v>
      </c>
      <c r="D622" s="4">
        <v>0.5</v>
      </c>
      <c r="E622" s="4">
        <v>0.54652777777777783</v>
      </c>
      <c r="F622" s="4">
        <v>0.68819444444444444</v>
      </c>
      <c r="G622" s="5">
        <f t="shared" si="18"/>
        <v>6.7999999999999989</v>
      </c>
      <c r="H622" s="8">
        <f t="shared" si="19"/>
        <v>1.9909722222222221</v>
      </c>
    </row>
    <row r="623" spans="1:8" x14ac:dyDescent="0.25">
      <c r="A623">
        <v>39</v>
      </c>
      <c r="B623" s="2">
        <v>44124</v>
      </c>
      <c r="C623" s="4">
        <v>0.34027777777777773</v>
      </c>
      <c r="D623" s="4">
        <v>0.49861111111111112</v>
      </c>
      <c r="E623" s="4">
        <v>0.56597222222222221</v>
      </c>
      <c r="F623" s="4">
        <v>0.69791666666666663</v>
      </c>
      <c r="G623" s="5">
        <f t="shared" si="18"/>
        <v>6.9666666666666668</v>
      </c>
      <c r="H623" s="8">
        <f t="shared" si="19"/>
        <v>0.98958333333333337</v>
      </c>
    </row>
    <row r="624" spans="1:8" x14ac:dyDescent="0.25">
      <c r="A624">
        <v>54</v>
      </c>
      <c r="B624" s="2">
        <v>44123</v>
      </c>
      <c r="C624" s="4">
        <v>0.38750000000000001</v>
      </c>
      <c r="D624" s="4">
        <v>0.50486111111111109</v>
      </c>
      <c r="E624" s="4">
        <v>0.56805555555555554</v>
      </c>
      <c r="F624" s="4">
        <v>0.68680555555555556</v>
      </c>
      <c r="G624" s="5">
        <f t="shared" si="18"/>
        <v>5.6666666666666661</v>
      </c>
      <c r="H624" s="8">
        <f t="shared" si="19"/>
        <v>1.9402777777777778</v>
      </c>
    </row>
    <row r="625" spans="1:8" x14ac:dyDescent="0.25">
      <c r="A625">
        <v>69</v>
      </c>
      <c r="B625" s="2">
        <v>44126</v>
      </c>
      <c r="C625" s="4">
        <v>0.31736111111111115</v>
      </c>
      <c r="D625" s="4">
        <v>0.51041666666666663</v>
      </c>
      <c r="E625" s="4">
        <v>0.55486111111111114</v>
      </c>
      <c r="F625" s="4">
        <v>0.69513888888888886</v>
      </c>
      <c r="G625" s="5">
        <f t="shared" si="18"/>
        <v>7.9999999999999964</v>
      </c>
      <c r="H625" s="8">
        <f t="shared" si="19"/>
        <v>1.023611111111111</v>
      </c>
    </row>
    <row r="626" spans="1:8" x14ac:dyDescent="0.25">
      <c r="A626">
        <v>51</v>
      </c>
      <c r="B626" s="2">
        <v>44126</v>
      </c>
      <c r="C626" s="4">
        <v>0.3611111111111111</v>
      </c>
      <c r="D626" s="4">
        <v>0.50902777777777775</v>
      </c>
      <c r="E626" s="4">
        <v>0.55347222222222225</v>
      </c>
      <c r="F626" s="4">
        <v>0.69027777777777777</v>
      </c>
      <c r="G626" s="5">
        <f t="shared" si="18"/>
        <v>6.8333333333333321</v>
      </c>
      <c r="H626" s="8">
        <f t="shared" si="19"/>
        <v>1.98125</v>
      </c>
    </row>
    <row r="627" spans="1:8" x14ac:dyDescent="0.25">
      <c r="A627">
        <v>65</v>
      </c>
      <c r="B627" s="2">
        <v>44124</v>
      </c>
      <c r="C627" s="4">
        <v>0.3520833333333333</v>
      </c>
      <c r="D627" s="4">
        <v>0.51041666666666663</v>
      </c>
      <c r="E627" s="4">
        <v>0.55833333333333335</v>
      </c>
      <c r="F627" s="4">
        <v>0.69513888888888886</v>
      </c>
      <c r="G627" s="5">
        <f t="shared" si="18"/>
        <v>7.0833333333333321</v>
      </c>
      <c r="H627" s="8">
        <f t="shared" si="19"/>
        <v>0.98541666666666661</v>
      </c>
    </row>
    <row r="628" spans="1:8" x14ac:dyDescent="0.25">
      <c r="A628">
        <v>92</v>
      </c>
      <c r="B628" s="2">
        <v>44124</v>
      </c>
      <c r="C628" s="4">
        <v>0.3298611111111111</v>
      </c>
      <c r="D628" s="4">
        <v>0.4993055555555555</v>
      </c>
      <c r="E628" s="4">
        <v>0.54166666666666663</v>
      </c>
      <c r="F628" s="4">
        <v>0.69513888888888886</v>
      </c>
      <c r="G628" s="5">
        <f t="shared" si="18"/>
        <v>7.7499999999999991</v>
      </c>
      <c r="H628" s="8">
        <f t="shared" si="19"/>
        <v>2.430555555555558E-2</v>
      </c>
    </row>
    <row r="629" spans="1:8" x14ac:dyDescent="0.25">
      <c r="A629">
        <v>28</v>
      </c>
      <c r="B629" s="2">
        <v>44124</v>
      </c>
      <c r="C629" s="4">
        <v>0.34513888888888888</v>
      </c>
      <c r="D629" s="4">
        <v>0.5</v>
      </c>
      <c r="E629" s="4">
        <v>0.56874999999999998</v>
      </c>
      <c r="F629" s="4">
        <v>0.70347222222222217</v>
      </c>
      <c r="G629" s="5">
        <f t="shared" si="18"/>
        <v>6.9499999999999993</v>
      </c>
      <c r="H629" s="8">
        <f t="shared" si="19"/>
        <v>0.98194444444444451</v>
      </c>
    </row>
    <row r="630" spans="1:8" x14ac:dyDescent="0.25">
      <c r="A630">
        <v>81</v>
      </c>
      <c r="B630" s="2">
        <v>44123</v>
      </c>
      <c r="C630" s="4">
        <v>0.35069444444444442</v>
      </c>
      <c r="D630" s="4">
        <v>0.5180555555555556</v>
      </c>
      <c r="E630" s="4">
        <v>0.56180555555555556</v>
      </c>
      <c r="F630" s="4">
        <v>0.68888888888888899</v>
      </c>
      <c r="G630" s="5">
        <f t="shared" si="18"/>
        <v>7.0666666666666709</v>
      </c>
      <c r="H630" s="8">
        <f t="shared" si="19"/>
        <v>0.98333333333333339</v>
      </c>
    </row>
    <row r="631" spans="1:8" x14ac:dyDescent="0.25">
      <c r="A631">
        <v>5</v>
      </c>
      <c r="B631" s="2">
        <v>44124</v>
      </c>
      <c r="C631" s="4">
        <v>0.37986111111111115</v>
      </c>
      <c r="D631" s="4">
        <v>0.50763888888888886</v>
      </c>
      <c r="E631" s="4">
        <v>0.57638888888888895</v>
      </c>
      <c r="F631" s="4">
        <v>0.70000000000000007</v>
      </c>
      <c r="G631" s="5">
        <f t="shared" si="18"/>
        <v>6.0333333333333314</v>
      </c>
      <c r="H631" s="8">
        <f t="shared" si="19"/>
        <v>1.9395833333333332</v>
      </c>
    </row>
    <row r="632" spans="1:8" x14ac:dyDescent="0.25">
      <c r="A632">
        <v>76</v>
      </c>
      <c r="B632" s="2">
        <v>44123</v>
      </c>
      <c r="C632" s="4">
        <v>0.3125</v>
      </c>
      <c r="D632" s="4">
        <v>0.52013888888888882</v>
      </c>
      <c r="E632" s="4">
        <v>0.55833333333333335</v>
      </c>
      <c r="F632" s="4">
        <v>0.68472222222222223</v>
      </c>
      <c r="G632" s="5">
        <f t="shared" si="18"/>
        <v>8.0166666666666657</v>
      </c>
      <c r="H632" s="8">
        <f t="shared" si="19"/>
        <v>1.0249999999999999</v>
      </c>
    </row>
    <row r="633" spans="1:8" x14ac:dyDescent="0.25">
      <c r="A633">
        <v>57</v>
      </c>
      <c r="B633" s="2">
        <v>44124</v>
      </c>
      <c r="C633" s="4">
        <v>0.31736111111111115</v>
      </c>
      <c r="D633" s="4">
        <v>0.51597222222222217</v>
      </c>
      <c r="E633" s="4">
        <v>0.57777777777777783</v>
      </c>
      <c r="F633" s="4">
        <v>0.69444444444444453</v>
      </c>
      <c r="G633" s="5">
        <f t="shared" si="18"/>
        <v>7.5666666666666647</v>
      </c>
      <c r="H633" s="8">
        <f t="shared" si="19"/>
        <v>1.0006944444444443</v>
      </c>
    </row>
    <row r="634" spans="1:8" x14ac:dyDescent="0.25">
      <c r="A634">
        <v>41</v>
      </c>
      <c r="B634" s="2">
        <v>44125</v>
      </c>
      <c r="C634" s="4">
        <v>0.32291666666666669</v>
      </c>
      <c r="D634" s="4">
        <v>0.50624999999999998</v>
      </c>
      <c r="E634" s="4">
        <v>0.56736111111111109</v>
      </c>
      <c r="F634" s="4">
        <v>0.69652777777777775</v>
      </c>
      <c r="G634" s="5">
        <f t="shared" si="18"/>
        <v>7.4999999999999982</v>
      </c>
      <c r="H634" s="8">
        <f t="shared" si="19"/>
        <v>1.0055555555555555</v>
      </c>
    </row>
    <row r="635" spans="1:8" x14ac:dyDescent="0.25">
      <c r="A635">
        <v>56</v>
      </c>
      <c r="B635" s="2">
        <v>44123</v>
      </c>
      <c r="C635" s="4">
        <v>0.32500000000000001</v>
      </c>
      <c r="D635" s="4">
        <v>0.50347222222222221</v>
      </c>
      <c r="E635" s="4">
        <v>0.56041666666666667</v>
      </c>
      <c r="F635" s="4">
        <v>0.68819444444444444</v>
      </c>
      <c r="G635" s="5">
        <f t="shared" si="18"/>
        <v>7.35</v>
      </c>
      <c r="H635" s="8">
        <f t="shared" si="19"/>
        <v>1.0104166666666665</v>
      </c>
    </row>
    <row r="636" spans="1:8" x14ac:dyDescent="0.25">
      <c r="A636">
        <v>34</v>
      </c>
      <c r="B636" s="2">
        <v>44125</v>
      </c>
      <c r="C636" s="4">
        <v>0.36874999999999997</v>
      </c>
      <c r="D636" s="4">
        <v>0.49722222222222223</v>
      </c>
      <c r="E636" s="4">
        <v>0.54791666666666672</v>
      </c>
      <c r="F636" s="4">
        <v>0.70000000000000007</v>
      </c>
      <c r="G636" s="5">
        <f t="shared" si="18"/>
        <v>6.7333333333333343</v>
      </c>
      <c r="H636" s="8">
        <f t="shared" si="19"/>
        <v>1.9791666666666665</v>
      </c>
    </row>
    <row r="637" spans="1:8" x14ac:dyDescent="0.25">
      <c r="A637">
        <v>4</v>
      </c>
      <c r="B637" s="2">
        <v>44126</v>
      </c>
      <c r="C637" s="4">
        <v>0.35833333333333334</v>
      </c>
      <c r="D637" s="4">
        <v>0.50624999999999998</v>
      </c>
      <c r="E637" s="4">
        <v>0.5444444444444444</v>
      </c>
      <c r="F637" s="4">
        <v>0.68680555555555556</v>
      </c>
      <c r="G637" s="5">
        <f t="shared" si="18"/>
        <v>6.9666666666666668</v>
      </c>
      <c r="H637" s="8">
        <f t="shared" si="19"/>
        <v>1.9930555555555556</v>
      </c>
    </row>
    <row r="638" spans="1:8" x14ac:dyDescent="0.25">
      <c r="A638">
        <v>67</v>
      </c>
      <c r="B638" s="2">
        <v>44123</v>
      </c>
      <c r="C638" s="4">
        <v>0.37291666666666662</v>
      </c>
      <c r="D638" s="4">
        <v>0.51250000000000007</v>
      </c>
      <c r="E638" s="4">
        <v>0.57361111111111118</v>
      </c>
      <c r="F638" s="4">
        <v>0.68819444444444444</v>
      </c>
      <c r="G638" s="5">
        <f t="shared" si="18"/>
        <v>6.1000000000000014</v>
      </c>
      <c r="H638" s="8">
        <f t="shared" si="19"/>
        <v>1.9493055555555556</v>
      </c>
    </row>
    <row r="639" spans="1:8" x14ac:dyDescent="0.25">
      <c r="A639">
        <v>90</v>
      </c>
      <c r="B639" s="2">
        <v>44124</v>
      </c>
      <c r="C639" s="4">
        <v>0.38680555555555557</v>
      </c>
      <c r="D639" s="4">
        <v>0.5</v>
      </c>
      <c r="E639" s="4">
        <v>0.57847222222222217</v>
      </c>
      <c r="F639" s="4">
        <v>0.69652777777777775</v>
      </c>
      <c r="G639" s="5">
        <f t="shared" si="18"/>
        <v>5.5500000000000007</v>
      </c>
      <c r="H639" s="8">
        <f t="shared" si="19"/>
        <v>1.9305555555555556</v>
      </c>
    </row>
    <row r="640" spans="1:8" x14ac:dyDescent="0.25">
      <c r="A640">
        <v>32</v>
      </c>
      <c r="B640" s="2">
        <v>44124</v>
      </c>
      <c r="C640" s="4">
        <v>0.31319444444444444</v>
      </c>
      <c r="D640" s="4">
        <v>0.51597222222222217</v>
      </c>
      <c r="E640" s="4">
        <v>0.54722222222222217</v>
      </c>
      <c r="F640" s="4">
        <v>0.70000000000000007</v>
      </c>
      <c r="G640" s="5">
        <f t="shared" si="18"/>
        <v>8.533333333333335</v>
      </c>
      <c r="H640" s="8">
        <f t="shared" si="19"/>
        <v>1.0354166666666667</v>
      </c>
    </row>
    <row r="641" spans="1:8" x14ac:dyDescent="0.25">
      <c r="A641">
        <v>16</v>
      </c>
      <c r="B641" s="2">
        <v>44124</v>
      </c>
      <c r="C641" s="4">
        <v>0.34513888888888888</v>
      </c>
      <c r="D641" s="4">
        <v>0.51458333333333328</v>
      </c>
      <c r="E641" s="4">
        <v>0.56458333333333333</v>
      </c>
      <c r="F641" s="4">
        <v>0.69791666666666663</v>
      </c>
      <c r="G641" s="5">
        <f t="shared" si="18"/>
        <v>7.2666666666666648</v>
      </c>
      <c r="H641" s="8">
        <f t="shared" si="19"/>
        <v>0.98611111111111116</v>
      </c>
    </row>
    <row r="642" spans="1:8" x14ac:dyDescent="0.25">
      <c r="A642">
        <v>97</v>
      </c>
      <c r="B642" s="2">
        <v>44123</v>
      </c>
      <c r="C642" s="4">
        <v>0.3263888888888889</v>
      </c>
      <c r="D642" s="4">
        <v>0.49652777777777773</v>
      </c>
      <c r="E642" s="4">
        <v>0.55833333333333335</v>
      </c>
      <c r="F642" s="4">
        <v>0.68402777777777779</v>
      </c>
      <c r="G642" s="5">
        <f t="shared" si="18"/>
        <v>7.0999999999999988</v>
      </c>
      <c r="H642" s="8">
        <f t="shared" si="19"/>
        <v>1.0111111111111111</v>
      </c>
    </row>
    <row r="643" spans="1:8" x14ac:dyDescent="0.25">
      <c r="A643">
        <v>16</v>
      </c>
      <c r="B643" s="2">
        <v>44124</v>
      </c>
      <c r="C643" s="4">
        <v>0.33749999999999997</v>
      </c>
      <c r="D643" s="4">
        <v>0.51736111111111105</v>
      </c>
      <c r="E643" s="4">
        <v>0.55277777777777781</v>
      </c>
      <c r="F643" s="4">
        <v>0.6875</v>
      </c>
      <c r="G643" s="5">
        <f t="shared" si="18"/>
        <v>7.5499999999999989</v>
      </c>
      <c r="H643" s="8">
        <f t="shared" si="19"/>
        <v>1.0055555555555555</v>
      </c>
    </row>
    <row r="644" spans="1:8" x14ac:dyDescent="0.25">
      <c r="A644">
        <v>88</v>
      </c>
      <c r="B644" s="2">
        <v>44125</v>
      </c>
      <c r="C644" s="4">
        <v>0.32361111111111113</v>
      </c>
      <c r="D644" s="4">
        <v>0.50416666666666665</v>
      </c>
      <c r="E644" s="4">
        <v>0.53819444444444442</v>
      </c>
      <c r="F644" s="4">
        <v>0.69861111111111107</v>
      </c>
      <c r="G644" s="5">
        <f t="shared" si="18"/>
        <v>8.1833333333333318</v>
      </c>
      <c r="H644" s="8">
        <f t="shared" si="19"/>
        <v>3.4027777777777768E-2</v>
      </c>
    </row>
    <row r="645" spans="1:8" x14ac:dyDescent="0.25">
      <c r="A645">
        <v>46</v>
      </c>
      <c r="B645" s="2">
        <v>44123</v>
      </c>
      <c r="C645" s="4">
        <v>0.31736111111111115</v>
      </c>
      <c r="D645" s="4">
        <v>0.50347222222222221</v>
      </c>
      <c r="E645" s="4">
        <v>0.54999999999999993</v>
      </c>
      <c r="F645" s="4">
        <v>0.68611111111111101</v>
      </c>
      <c r="G645" s="5">
        <f t="shared" si="18"/>
        <v>7.7333333333333307</v>
      </c>
      <c r="H645" s="8">
        <f t="shared" si="19"/>
        <v>1.0284722222222222</v>
      </c>
    </row>
    <row r="646" spans="1:8" x14ac:dyDescent="0.25">
      <c r="A646">
        <v>48</v>
      </c>
      <c r="B646" s="2">
        <v>44125</v>
      </c>
      <c r="C646" s="4">
        <v>0.37013888888888885</v>
      </c>
      <c r="D646" s="4">
        <v>0.50277777777777777</v>
      </c>
      <c r="E646" s="4">
        <v>0.57430555555555551</v>
      </c>
      <c r="F646" s="4">
        <v>0.69236111111111109</v>
      </c>
      <c r="G646" s="5">
        <f t="shared" si="18"/>
        <v>6.0166666666666675</v>
      </c>
      <c r="H646" s="8">
        <f t="shared" si="19"/>
        <v>1.9513888888888888</v>
      </c>
    </row>
    <row r="647" spans="1:8" x14ac:dyDescent="0.25">
      <c r="A647">
        <v>59</v>
      </c>
      <c r="B647" s="2">
        <v>44125</v>
      </c>
      <c r="C647" s="4">
        <v>0.38680555555555557</v>
      </c>
      <c r="D647" s="4">
        <v>0.52013888888888882</v>
      </c>
      <c r="E647" s="4">
        <v>0.55833333333333335</v>
      </c>
      <c r="F647" s="4">
        <v>0.70486111111111116</v>
      </c>
      <c r="G647" s="5">
        <f t="shared" si="18"/>
        <v>6.716666666666665</v>
      </c>
      <c r="H647" s="8">
        <f t="shared" si="19"/>
        <v>1.9506944444444443</v>
      </c>
    </row>
    <row r="648" spans="1:8" x14ac:dyDescent="0.25">
      <c r="A648">
        <v>95</v>
      </c>
      <c r="B648" s="2">
        <v>44124</v>
      </c>
      <c r="C648" s="4">
        <v>0.37847222222222227</v>
      </c>
      <c r="D648" s="4">
        <v>0.50555555555555554</v>
      </c>
      <c r="E648" s="4">
        <v>0.55347222222222225</v>
      </c>
      <c r="F648" s="4">
        <v>0.6958333333333333</v>
      </c>
      <c r="G648" s="5">
        <f t="shared" ref="G648:G711" si="20">((D648-C648)*24)+((F648-E648)*24)</f>
        <v>6.4666666666666632</v>
      </c>
      <c r="H648" s="8">
        <f t="shared" ref="H648:H711" si="21">MOD((TIME(8,30,0)-C648),1)+MOD((TIME(13,0,0)-E648),1)</f>
        <v>1.9638888888888888</v>
      </c>
    </row>
    <row r="649" spans="1:8" x14ac:dyDescent="0.25">
      <c r="A649">
        <v>100</v>
      </c>
      <c r="B649" s="2">
        <v>44125</v>
      </c>
      <c r="C649" s="4">
        <v>0.38819444444444445</v>
      </c>
      <c r="D649" s="4">
        <v>0.50555555555555554</v>
      </c>
      <c r="E649" s="4">
        <v>0.54097222222222219</v>
      </c>
      <c r="F649" s="4">
        <v>0.69374999999999998</v>
      </c>
      <c r="G649" s="5">
        <f t="shared" si="20"/>
        <v>6.4833333333333325</v>
      </c>
      <c r="H649" s="8">
        <f t="shared" si="21"/>
        <v>0.96666666666666667</v>
      </c>
    </row>
    <row r="650" spans="1:8" x14ac:dyDescent="0.25">
      <c r="A650">
        <v>35</v>
      </c>
      <c r="B650" s="2">
        <v>44126</v>
      </c>
      <c r="C650" s="4">
        <v>0.35486111111111113</v>
      </c>
      <c r="D650" s="4">
        <v>0.5083333333333333</v>
      </c>
      <c r="E650" s="4">
        <v>0.56944444444444442</v>
      </c>
      <c r="F650" s="4">
        <v>0.69652777777777775</v>
      </c>
      <c r="G650" s="5">
        <f t="shared" si="20"/>
        <v>6.7333333333333325</v>
      </c>
      <c r="H650" s="8">
        <f t="shared" si="21"/>
        <v>1.9715277777777778</v>
      </c>
    </row>
    <row r="651" spans="1:8" x14ac:dyDescent="0.25">
      <c r="A651">
        <v>43</v>
      </c>
      <c r="B651" s="2">
        <v>44124</v>
      </c>
      <c r="C651" s="4">
        <v>0.38055555555555554</v>
      </c>
      <c r="D651" s="4">
        <v>0.51250000000000007</v>
      </c>
      <c r="E651" s="4">
        <v>0.57222222222222219</v>
      </c>
      <c r="F651" s="4">
        <v>0.68541666666666667</v>
      </c>
      <c r="G651" s="5">
        <f t="shared" si="20"/>
        <v>5.8833333333333364</v>
      </c>
      <c r="H651" s="8">
        <f t="shared" si="21"/>
        <v>1.9430555555555555</v>
      </c>
    </row>
    <row r="652" spans="1:8" x14ac:dyDescent="0.25">
      <c r="A652">
        <v>69</v>
      </c>
      <c r="B652" s="2">
        <v>44123</v>
      </c>
      <c r="C652" s="4">
        <v>0.34930555555555554</v>
      </c>
      <c r="D652" s="4">
        <v>0.50277777777777777</v>
      </c>
      <c r="E652" s="4">
        <v>0.5708333333333333</v>
      </c>
      <c r="F652" s="4">
        <v>0.68819444444444444</v>
      </c>
      <c r="G652" s="5">
        <f t="shared" si="20"/>
        <v>6.5000000000000009</v>
      </c>
      <c r="H652" s="8">
        <f t="shared" si="21"/>
        <v>0.97569444444444442</v>
      </c>
    </row>
    <row r="653" spans="1:8" x14ac:dyDescent="0.25">
      <c r="A653">
        <v>94</v>
      </c>
      <c r="B653" s="2">
        <v>44125</v>
      </c>
      <c r="C653" s="4">
        <v>0.37291666666666662</v>
      </c>
      <c r="D653" s="4">
        <v>0.51458333333333328</v>
      </c>
      <c r="E653" s="4">
        <v>0.55833333333333335</v>
      </c>
      <c r="F653" s="4">
        <v>0.6958333333333333</v>
      </c>
      <c r="G653" s="5">
        <f t="shared" si="20"/>
        <v>6.6999999999999993</v>
      </c>
      <c r="H653" s="8">
        <f t="shared" si="21"/>
        <v>1.9645833333333333</v>
      </c>
    </row>
    <row r="654" spans="1:8" x14ac:dyDescent="0.25">
      <c r="A654">
        <v>46</v>
      </c>
      <c r="B654" s="2">
        <v>44124</v>
      </c>
      <c r="C654" s="4">
        <v>0.34166666666666662</v>
      </c>
      <c r="D654" s="4">
        <v>0.50694444444444442</v>
      </c>
      <c r="E654" s="4">
        <v>0.57013888888888886</v>
      </c>
      <c r="F654" s="4">
        <v>0.7006944444444444</v>
      </c>
      <c r="G654" s="5">
        <f t="shared" si="20"/>
        <v>7.1</v>
      </c>
      <c r="H654" s="8">
        <f t="shared" si="21"/>
        <v>0.98402777777777783</v>
      </c>
    </row>
    <row r="655" spans="1:8" x14ac:dyDescent="0.25">
      <c r="A655">
        <v>93</v>
      </c>
      <c r="B655" s="2">
        <v>44123</v>
      </c>
      <c r="C655" s="4">
        <v>0.32222222222222224</v>
      </c>
      <c r="D655" s="4">
        <v>0.51041666666666663</v>
      </c>
      <c r="E655" s="4">
        <v>0.55555555555555558</v>
      </c>
      <c r="F655" s="4">
        <v>0.69791666666666663</v>
      </c>
      <c r="G655" s="5">
        <f t="shared" si="20"/>
        <v>7.9333333333333309</v>
      </c>
      <c r="H655" s="8">
        <f t="shared" si="21"/>
        <v>1.0180555555555555</v>
      </c>
    </row>
    <row r="656" spans="1:8" x14ac:dyDescent="0.25">
      <c r="A656">
        <v>83</v>
      </c>
      <c r="B656" s="2">
        <v>44123</v>
      </c>
      <c r="C656" s="4">
        <v>0.3298611111111111</v>
      </c>
      <c r="D656" s="4">
        <v>0.5083333333333333</v>
      </c>
      <c r="E656" s="4">
        <v>0.56527777777777777</v>
      </c>
      <c r="F656" s="4">
        <v>0.68402777777777779</v>
      </c>
      <c r="G656" s="5">
        <f t="shared" si="20"/>
        <v>7.1333333333333337</v>
      </c>
      <c r="H656" s="8">
        <f t="shared" si="21"/>
        <v>1.0006944444444446</v>
      </c>
    </row>
    <row r="657" spans="1:8" x14ac:dyDescent="0.25">
      <c r="A657">
        <v>53</v>
      </c>
      <c r="B657" s="2">
        <v>44123</v>
      </c>
      <c r="C657" s="4">
        <v>0.36180555555555555</v>
      </c>
      <c r="D657" s="4">
        <v>0.51874999999999993</v>
      </c>
      <c r="E657" s="4">
        <v>0.57500000000000007</v>
      </c>
      <c r="F657" s="4">
        <v>0.69305555555555554</v>
      </c>
      <c r="G657" s="5">
        <f t="shared" si="20"/>
        <v>6.5999999999999961</v>
      </c>
      <c r="H657" s="8">
        <f t="shared" si="21"/>
        <v>1.9590277777777776</v>
      </c>
    </row>
    <row r="658" spans="1:8" x14ac:dyDescent="0.25">
      <c r="A658">
        <v>21</v>
      </c>
      <c r="B658" s="2">
        <v>44124</v>
      </c>
      <c r="C658" s="4">
        <v>0.36944444444444446</v>
      </c>
      <c r="D658" s="4">
        <v>0.50555555555555554</v>
      </c>
      <c r="E658" s="4">
        <v>0.57847222222222217</v>
      </c>
      <c r="F658" s="4">
        <v>0.68472222222222223</v>
      </c>
      <c r="G658" s="5">
        <f t="shared" si="20"/>
        <v>5.8166666666666673</v>
      </c>
      <c r="H658" s="8">
        <f t="shared" si="21"/>
        <v>1.9479166666666667</v>
      </c>
    </row>
    <row r="659" spans="1:8" x14ac:dyDescent="0.25">
      <c r="A659">
        <v>84</v>
      </c>
      <c r="B659" s="2">
        <v>44125</v>
      </c>
      <c r="C659" s="4">
        <v>0.36388888888888887</v>
      </c>
      <c r="D659" s="4">
        <v>0.51944444444444449</v>
      </c>
      <c r="E659" s="4">
        <v>0.56041666666666667</v>
      </c>
      <c r="F659" s="4">
        <v>0.68472222222222223</v>
      </c>
      <c r="G659" s="5">
        <f t="shared" si="20"/>
        <v>6.7166666666666686</v>
      </c>
      <c r="H659" s="8">
        <f t="shared" si="21"/>
        <v>1.9715277777777778</v>
      </c>
    </row>
    <row r="660" spans="1:8" x14ac:dyDescent="0.25">
      <c r="A660">
        <v>62</v>
      </c>
      <c r="B660" s="2">
        <v>44124</v>
      </c>
      <c r="C660" s="4">
        <v>0.38263888888888892</v>
      </c>
      <c r="D660" s="4">
        <v>0.50486111111111109</v>
      </c>
      <c r="E660" s="4">
        <v>0.56527777777777777</v>
      </c>
      <c r="F660" s="4">
        <v>0.69930555555555562</v>
      </c>
      <c r="G660" s="5">
        <f t="shared" si="20"/>
        <v>6.15</v>
      </c>
      <c r="H660" s="8">
        <f t="shared" si="21"/>
        <v>1.9479166666666665</v>
      </c>
    </row>
    <row r="661" spans="1:8" x14ac:dyDescent="0.25">
      <c r="A661">
        <v>58</v>
      </c>
      <c r="B661" s="2">
        <v>44126</v>
      </c>
      <c r="C661" s="4">
        <v>0.37152777777777773</v>
      </c>
      <c r="D661" s="4">
        <v>0.50763888888888886</v>
      </c>
      <c r="E661" s="4">
        <v>0.55763888888888891</v>
      </c>
      <c r="F661" s="4">
        <v>0.70416666666666661</v>
      </c>
      <c r="G661" s="5">
        <f t="shared" si="20"/>
        <v>6.7833333333333314</v>
      </c>
      <c r="H661" s="8">
        <f t="shared" si="21"/>
        <v>1.9666666666666668</v>
      </c>
    </row>
    <row r="662" spans="1:8" x14ac:dyDescent="0.25">
      <c r="A662">
        <v>89</v>
      </c>
      <c r="B662" s="2">
        <v>44126</v>
      </c>
      <c r="C662" s="4">
        <v>0.31388888888888888</v>
      </c>
      <c r="D662" s="4">
        <v>0.50208333333333333</v>
      </c>
      <c r="E662" s="4">
        <v>0.54583333333333328</v>
      </c>
      <c r="F662" s="4">
        <v>0.69166666666666676</v>
      </c>
      <c r="G662" s="5">
        <f t="shared" si="20"/>
        <v>8.0166666666666693</v>
      </c>
      <c r="H662" s="8">
        <f t="shared" si="21"/>
        <v>1.0361111111111112</v>
      </c>
    </row>
    <row r="663" spans="1:8" x14ac:dyDescent="0.25">
      <c r="A663">
        <v>51</v>
      </c>
      <c r="B663" s="2">
        <v>44125</v>
      </c>
      <c r="C663" s="4">
        <v>0.37847222222222227</v>
      </c>
      <c r="D663" s="4">
        <v>0.49791666666666662</v>
      </c>
      <c r="E663" s="4">
        <v>0.54999999999999993</v>
      </c>
      <c r="F663" s="4">
        <v>0.68958333333333333</v>
      </c>
      <c r="G663" s="5">
        <f t="shared" si="20"/>
        <v>6.2166666666666659</v>
      </c>
      <c r="H663" s="8">
        <f t="shared" si="21"/>
        <v>1.9673611111111111</v>
      </c>
    </row>
    <row r="664" spans="1:8" x14ac:dyDescent="0.25">
      <c r="A664">
        <v>35</v>
      </c>
      <c r="B664" s="2">
        <v>44124</v>
      </c>
      <c r="C664" s="4">
        <v>0.38611111111111113</v>
      </c>
      <c r="D664" s="4">
        <v>0.51180555555555551</v>
      </c>
      <c r="E664" s="4">
        <v>0.5444444444444444</v>
      </c>
      <c r="F664" s="4">
        <v>0.68472222222222223</v>
      </c>
      <c r="G664" s="5">
        <f t="shared" si="20"/>
        <v>6.3833333333333329</v>
      </c>
      <c r="H664" s="8">
        <f t="shared" si="21"/>
        <v>1.9652777777777777</v>
      </c>
    </row>
    <row r="665" spans="1:8" x14ac:dyDescent="0.25">
      <c r="A665">
        <v>54</v>
      </c>
      <c r="B665" s="2">
        <v>44125</v>
      </c>
      <c r="C665" s="4">
        <v>0.32083333333333336</v>
      </c>
      <c r="D665" s="4">
        <v>0.51527777777777783</v>
      </c>
      <c r="E665" s="4">
        <v>0.5395833333333333</v>
      </c>
      <c r="F665" s="4">
        <v>0.69861111111111107</v>
      </c>
      <c r="G665" s="5">
        <f t="shared" si="20"/>
        <v>8.4833333333333343</v>
      </c>
      <c r="H665" s="8">
        <f t="shared" si="21"/>
        <v>3.5416666666666652E-2</v>
      </c>
    </row>
    <row r="666" spans="1:8" x14ac:dyDescent="0.25">
      <c r="A666">
        <v>18</v>
      </c>
      <c r="B666" s="2">
        <v>44126</v>
      </c>
      <c r="C666" s="4">
        <v>0.38055555555555554</v>
      </c>
      <c r="D666" s="4">
        <v>0.50208333333333333</v>
      </c>
      <c r="E666" s="4">
        <v>0.55694444444444446</v>
      </c>
      <c r="F666" s="4">
        <v>0.69236111111111109</v>
      </c>
      <c r="G666" s="5">
        <f t="shared" si="20"/>
        <v>6.1666666666666661</v>
      </c>
      <c r="H666" s="8">
        <f t="shared" si="21"/>
        <v>1.9583333333333335</v>
      </c>
    </row>
    <row r="667" spans="1:8" x14ac:dyDescent="0.25">
      <c r="A667">
        <v>63</v>
      </c>
      <c r="B667" s="2">
        <v>44125</v>
      </c>
      <c r="C667" s="4">
        <v>0.38125000000000003</v>
      </c>
      <c r="D667" s="4">
        <v>0.50069444444444444</v>
      </c>
      <c r="E667" s="4">
        <v>0.54791666666666672</v>
      </c>
      <c r="F667" s="4">
        <v>0.68819444444444444</v>
      </c>
      <c r="G667" s="5">
        <f t="shared" si="20"/>
        <v>6.2333333333333307</v>
      </c>
      <c r="H667" s="8">
        <f t="shared" si="21"/>
        <v>1.9666666666666666</v>
      </c>
    </row>
    <row r="668" spans="1:8" x14ac:dyDescent="0.25">
      <c r="A668">
        <v>72</v>
      </c>
      <c r="B668" s="2">
        <v>44126</v>
      </c>
      <c r="C668" s="4">
        <v>0.36041666666666666</v>
      </c>
      <c r="D668" s="4">
        <v>0.49722222222222223</v>
      </c>
      <c r="E668" s="4">
        <v>0.54999999999999993</v>
      </c>
      <c r="F668" s="4">
        <v>0.68958333333333333</v>
      </c>
      <c r="G668" s="5">
        <f t="shared" si="20"/>
        <v>6.6333333333333346</v>
      </c>
      <c r="H668" s="8">
        <f t="shared" si="21"/>
        <v>1.9854166666666666</v>
      </c>
    </row>
    <row r="669" spans="1:8" x14ac:dyDescent="0.25">
      <c r="A669">
        <v>44</v>
      </c>
      <c r="B669" s="2">
        <v>44123</v>
      </c>
      <c r="C669" s="4">
        <v>0.31944444444444448</v>
      </c>
      <c r="D669" s="4">
        <v>0.51666666666666672</v>
      </c>
      <c r="E669" s="4">
        <v>0.57013888888888886</v>
      </c>
      <c r="F669" s="4">
        <v>0.69236111111111109</v>
      </c>
      <c r="G669" s="5">
        <f t="shared" si="20"/>
        <v>7.6666666666666679</v>
      </c>
      <c r="H669" s="8">
        <f t="shared" si="21"/>
        <v>1.0062500000000001</v>
      </c>
    </row>
    <row r="670" spans="1:8" x14ac:dyDescent="0.25">
      <c r="A670">
        <v>62</v>
      </c>
      <c r="B670" s="2">
        <v>44123</v>
      </c>
      <c r="C670" s="4">
        <v>0.31875000000000003</v>
      </c>
      <c r="D670" s="4">
        <v>0.51388888888888895</v>
      </c>
      <c r="E670" s="4">
        <v>0.54375000000000007</v>
      </c>
      <c r="F670" s="4">
        <v>0.70347222222222217</v>
      </c>
      <c r="G670" s="5">
        <f t="shared" si="20"/>
        <v>8.5166666666666639</v>
      </c>
      <c r="H670" s="8">
        <f t="shared" si="21"/>
        <v>1.0333333333333332</v>
      </c>
    </row>
    <row r="671" spans="1:8" x14ac:dyDescent="0.25">
      <c r="A671">
        <v>51</v>
      </c>
      <c r="B671" s="2">
        <v>44123</v>
      </c>
      <c r="C671" s="4">
        <v>0.35138888888888892</v>
      </c>
      <c r="D671" s="4">
        <v>0.50972222222222219</v>
      </c>
      <c r="E671" s="4">
        <v>0.56458333333333333</v>
      </c>
      <c r="F671" s="4">
        <v>0.70416666666666661</v>
      </c>
      <c r="G671" s="5">
        <f t="shared" si="20"/>
        <v>7.1499999999999968</v>
      </c>
      <c r="H671" s="8">
        <f t="shared" si="21"/>
        <v>0.97986111111111107</v>
      </c>
    </row>
    <row r="672" spans="1:8" x14ac:dyDescent="0.25">
      <c r="A672">
        <v>82</v>
      </c>
      <c r="B672" s="2">
        <v>44125</v>
      </c>
      <c r="C672" s="4">
        <v>0.3430555555555555</v>
      </c>
      <c r="D672" s="4">
        <v>0.50069444444444444</v>
      </c>
      <c r="E672" s="4">
        <v>0.54791666666666672</v>
      </c>
      <c r="F672" s="4">
        <v>0.7006944444444444</v>
      </c>
      <c r="G672" s="5">
        <f t="shared" si="20"/>
        <v>7.4499999999999993</v>
      </c>
      <c r="H672" s="8">
        <f t="shared" si="21"/>
        <v>1.004861111111111</v>
      </c>
    </row>
    <row r="673" spans="1:8" x14ac:dyDescent="0.25">
      <c r="A673">
        <v>52</v>
      </c>
      <c r="B673" s="2">
        <v>44123</v>
      </c>
      <c r="C673" s="4">
        <v>0.3659722222222222</v>
      </c>
      <c r="D673" s="4">
        <v>0.50347222222222221</v>
      </c>
      <c r="E673" s="4">
        <v>0.5756944444444444</v>
      </c>
      <c r="F673" s="4">
        <v>0.70416666666666661</v>
      </c>
      <c r="G673" s="5">
        <f t="shared" si="20"/>
        <v>6.3833333333333329</v>
      </c>
      <c r="H673" s="8">
        <f t="shared" si="21"/>
        <v>1.9541666666666666</v>
      </c>
    </row>
    <row r="674" spans="1:8" x14ac:dyDescent="0.25">
      <c r="A674">
        <v>41</v>
      </c>
      <c r="B674" s="2">
        <v>44124</v>
      </c>
      <c r="C674" s="4">
        <v>0.32777777777777778</v>
      </c>
      <c r="D674" s="4">
        <v>0.51597222222222217</v>
      </c>
      <c r="E674" s="4">
        <v>0.53888888888888886</v>
      </c>
      <c r="F674" s="4">
        <v>0.6958333333333333</v>
      </c>
      <c r="G674" s="5">
        <f t="shared" si="20"/>
        <v>8.2833333333333314</v>
      </c>
      <c r="H674" s="8">
        <f t="shared" si="21"/>
        <v>2.9166666666666674E-2</v>
      </c>
    </row>
    <row r="675" spans="1:8" x14ac:dyDescent="0.25">
      <c r="A675">
        <v>26</v>
      </c>
      <c r="B675" s="2">
        <v>44126</v>
      </c>
      <c r="C675" s="4">
        <v>0.33611111111111108</v>
      </c>
      <c r="D675" s="4">
        <v>0.50208333333333333</v>
      </c>
      <c r="E675" s="4">
        <v>0.55555555555555558</v>
      </c>
      <c r="F675" s="4">
        <v>0.68472222222222223</v>
      </c>
      <c r="G675" s="5">
        <f t="shared" si="20"/>
        <v>7.0833333333333339</v>
      </c>
      <c r="H675" s="8">
        <f t="shared" si="21"/>
        <v>1.0041666666666667</v>
      </c>
    </row>
    <row r="676" spans="1:8" x14ac:dyDescent="0.25">
      <c r="A676">
        <v>29</v>
      </c>
      <c r="B676" s="2">
        <v>44126</v>
      </c>
      <c r="C676" s="4">
        <v>0.35972222222222222</v>
      </c>
      <c r="D676" s="4">
        <v>0.49652777777777773</v>
      </c>
      <c r="E676" s="4">
        <v>0.56597222222222221</v>
      </c>
      <c r="F676" s="4">
        <v>0.68541666666666667</v>
      </c>
      <c r="G676" s="5">
        <f t="shared" si="20"/>
        <v>6.1499999999999995</v>
      </c>
      <c r="H676" s="8">
        <f t="shared" si="21"/>
        <v>1.9701388888888889</v>
      </c>
    </row>
    <row r="677" spans="1:8" x14ac:dyDescent="0.25">
      <c r="A677">
        <v>14</v>
      </c>
      <c r="B677" s="2">
        <v>44124</v>
      </c>
      <c r="C677" s="4">
        <v>0.32430555555555557</v>
      </c>
      <c r="D677" s="4">
        <v>0.5180555555555556</v>
      </c>
      <c r="E677" s="4">
        <v>0.57916666666666672</v>
      </c>
      <c r="F677" s="4">
        <v>0.68611111111111101</v>
      </c>
      <c r="G677" s="5">
        <f t="shared" si="20"/>
        <v>7.2166666666666632</v>
      </c>
      <c r="H677" s="8">
        <f t="shared" si="21"/>
        <v>0.99236111111111103</v>
      </c>
    </row>
    <row r="678" spans="1:8" x14ac:dyDescent="0.25">
      <c r="A678">
        <v>86</v>
      </c>
      <c r="B678" s="2">
        <v>44123</v>
      </c>
      <c r="C678" s="4">
        <v>0.35902777777777778</v>
      </c>
      <c r="D678" s="4">
        <v>0.51736111111111105</v>
      </c>
      <c r="E678" s="4">
        <v>0.57291666666666663</v>
      </c>
      <c r="F678" s="4">
        <v>0.69513888888888886</v>
      </c>
      <c r="G678" s="5">
        <f t="shared" si="20"/>
        <v>6.7333333333333325</v>
      </c>
      <c r="H678" s="8">
        <f t="shared" si="21"/>
        <v>1.963888888888889</v>
      </c>
    </row>
    <row r="679" spans="1:8" x14ac:dyDescent="0.25">
      <c r="A679">
        <v>10</v>
      </c>
      <c r="B679" s="2">
        <v>44123</v>
      </c>
      <c r="C679" s="4">
        <v>0.3840277777777778</v>
      </c>
      <c r="D679" s="4">
        <v>0.50138888888888888</v>
      </c>
      <c r="E679" s="4">
        <v>0.56111111111111112</v>
      </c>
      <c r="F679" s="4">
        <v>0.6972222222222223</v>
      </c>
      <c r="G679" s="5">
        <f t="shared" si="20"/>
        <v>6.0833333333333339</v>
      </c>
      <c r="H679" s="8">
        <f t="shared" si="21"/>
        <v>1.9506944444444443</v>
      </c>
    </row>
    <row r="680" spans="1:8" x14ac:dyDescent="0.25">
      <c r="A680">
        <v>58</v>
      </c>
      <c r="B680" s="2">
        <v>44125</v>
      </c>
      <c r="C680" s="4">
        <v>0.33888888888888885</v>
      </c>
      <c r="D680" s="4">
        <v>0.50902777777777775</v>
      </c>
      <c r="E680" s="4">
        <v>0.57013888888888886</v>
      </c>
      <c r="F680" s="4">
        <v>0.68680555555555556</v>
      </c>
      <c r="G680" s="5">
        <f t="shared" si="20"/>
        <v>6.8833333333333346</v>
      </c>
      <c r="H680" s="8">
        <f t="shared" si="21"/>
        <v>0.9868055555555556</v>
      </c>
    </row>
    <row r="681" spans="1:8" x14ac:dyDescent="0.25">
      <c r="A681">
        <v>62</v>
      </c>
      <c r="B681" s="2">
        <v>44123</v>
      </c>
      <c r="C681" s="4">
        <v>0.31875000000000003</v>
      </c>
      <c r="D681" s="4">
        <v>0.5083333333333333</v>
      </c>
      <c r="E681" s="4">
        <v>0.56388888888888888</v>
      </c>
      <c r="F681" s="4">
        <v>0.69861111111111107</v>
      </c>
      <c r="G681" s="5">
        <f t="shared" si="20"/>
        <v>7.7833333333333314</v>
      </c>
      <c r="H681" s="8">
        <f t="shared" si="21"/>
        <v>1.0131944444444443</v>
      </c>
    </row>
    <row r="682" spans="1:8" x14ac:dyDescent="0.25">
      <c r="A682">
        <v>18</v>
      </c>
      <c r="B682" s="2">
        <v>44124</v>
      </c>
      <c r="C682" s="4">
        <v>0.33124999999999999</v>
      </c>
      <c r="D682" s="4">
        <v>0.50902777777777775</v>
      </c>
      <c r="E682" s="4">
        <v>0.57222222222222219</v>
      </c>
      <c r="F682" s="4">
        <v>0.6972222222222223</v>
      </c>
      <c r="G682" s="5">
        <f t="shared" si="20"/>
        <v>7.2666666666666684</v>
      </c>
      <c r="H682" s="8">
        <f t="shared" si="21"/>
        <v>0.99236111111111114</v>
      </c>
    </row>
    <row r="683" spans="1:8" x14ac:dyDescent="0.25">
      <c r="A683">
        <v>100</v>
      </c>
      <c r="B683" s="2">
        <v>44125</v>
      </c>
      <c r="C683" s="4">
        <v>0.33680555555555558</v>
      </c>
      <c r="D683" s="4">
        <v>0.51111111111111118</v>
      </c>
      <c r="E683" s="4">
        <v>0.55833333333333335</v>
      </c>
      <c r="F683" s="4">
        <v>0.69513888888888886</v>
      </c>
      <c r="G683" s="5">
        <f t="shared" si="20"/>
        <v>7.4666666666666668</v>
      </c>
      <c r="H683" s="8">
        <f t="shared" si="21"/>
        <v>1.0006944444444443</v>
      </c>
    </row>
    <row r="684" spans="1:8" x14ac:dyDescent="0.25">
      <c r="A684">
        <v>76</v>
      </c>
      <c r="B684" s="2">
        <v>44126</v>
      </c>
      <c r="C684" s="4">
        <v>0.37986111111111115</v>
      </c>
      <c r="D684" s="4">
        <v>0.51597222222222217</v>
      </c>
      <c r="E684" s="4">
        <v>0.55138888888888882</v>
      </c>
      <c r="F684" s="4">
        <v>0.69097222222222221</v>
      </c>
      <c r="G684" s="5">
        <f t="shared" si="20"/>
        <v>6.6166666666666654</v>
      </c>
      <c r="H684" s="8">
        <f t="shared" si="21"/>
        <v>1.9645833333333333</v>
      </c>
    </row>
    <row r="685" spans="1:8" x14ac:dyDescent="0.25">
      <c r="A685">
        <v>26</v>
      </c>
      <c r="B685" s="2">
        <v>44126</v>
      </c>
      <c r="C685" s="4">
        <v>0.31388888888888888</v>
      </c>
      <c r="D685" s="4">
        <v>0.51388888888888895</v>
      </c>
      <c r="E685" s="4">
        <v>0.55763888888888891</v>
      </c>
      <c r="F685" s="4">
        <v>0.6958333333333333</v>
      </c>
      <c r="G685" s="5">
        <f t="shared" si="20"/>
        <v>8.1166666666666671</v>
      </c>
      <c r="H685" s="8">
        <f t="shared" si="21"/>
        <v>1.0243055555555556</v>
      </c>
    </row>
    <row r="686" spans="1:8" x14ac:dyDescent="0.25">
      <c r="A686">
        <v>94</v>
      </c>
      <c r="B686" s="2">
        <v>44125</v>
      </c>
      <c r="C686" s="4">
        <v>0.32916666666666666</v>
      </c>
      <c r="D686" s="4">
        <v>0.51111111111111118</v>
      </c>
      <c r="E686" s="4">
        <v>0.54305555555555551</v>
      </c>
      <c r="F686" s="4">
        <v>0.69374999999999998</v>
      </c>
      <c r="G686" s="5">
        <f t="shared" si="20"/>
        <v>7.9833333333333361</v>
      </c>
      <c r="H686" s="8">
        <f t="shared" si="21"/>
        <v>1.0236111111111112</v>
      </c>
    </row>
    <row r="687" spans="1:8" x14ac:dyDescent="0.25">
      <c r="A687">
        <v>22</v>
      </c>
      <c r="B687" s="2">
        <v>44126</v>
      </c>
      <c r="C687" s="4">
        <v>0.3576388888888889</v>
      </c>
      <c r="D687" s="4">
        <v>0.50763888888888886</v>
      </c>
      <c r="E687" s="4">
        <v>0.5708333333333333</v>
      </c>
      <c r="F687" s="4">
        <v>0.69444444444444453</v>
      </c>
      <c r="G687" s="5">
        <f t="shared" si="20"/>
        <v>6.5666666666666682</v>
      </c>
      <c r="H687" s="8">
        <f t="shared" si="21"/>
        <v>1.9673611111111111</v>
      </c>
    </row>
    <row r="688" spans="1:8" x14ac:dyDescent="0.25">
      <c r="A688">
        <v>2</v>
      </c>
      <c r="B688" s="2">
        <v>44125</v>
      </c>
      <c r="C688" s="4">
        <v>0.34652777777777777</v>
      </c>
      <c r="D688" s="4">
        <v>0.49861111111111112</v>
      </c>
      <c r="E688" s="4">
        <v>0.54097222222222219</v>
      </c>
      <c r="F688" s="4">
        <v>0.7006944444444444</v>
      </c>
      <c r="G688" s="5">
        <f t="shared" si="20"/>
        <v>7.4833333333333334</v>
      </c>
      <c r="H688" s="8">
        <f t="shared" si="21"/>
        <v>8.3333333333333592E-3</v>
      </c>
    </row>
    <row r="689" spans="1:8" x14ac:dyDescent="0.25">
      <c r="A689">
        <v>15</v>
      </c>
      <c r="B689" s="2">
        <v>44126</v>
      </c>
      <c r="C689" s="4">
        <v>0.3215277777777778</v>
      </c>
      <c r="D689" s="4">
        <v>0.50624999999999998</v>
      </c>
      <c r="E689" s="4">
        <v>0.56111111111111112</v>
      </c>
      <c r="F689" s="4">
        <v>0.7006944444444444</v>
      </c>
      <c r="G689" s="5">
        <f t="shared" si="20"/>
        <v>7.7833333333333306</v>
      </c>
      <c r="H689" s="8">
        <f t="shared" si="21"/>
        <v>1.0131944444444443</v>
      </c>
    </row>
    <row r="690" spans="1:8" x14ac:dyDescent="0.25">
      <c r="A690">
        <v>4</v>
      </c>
      <c r="B690" s="2">
        <v>44123</v>
      </c>
      <c r="C690" s="4">
        <v>0.36874999999999997</v>
      </c>
      <c r="D690" s="4">
        <v>0.50208333333333333</v>
      </c>
      <c r="E690" s="4">
        <v>0.55555555555555558</v>
      </c>
      <c r="F690" s="4">
        <v>0.69861111111111107</v>
      </c>
      <c r="G690" s="5">
        <f t="shared" si="20"/>
        <v>6.6333333333333329</v>
      </c>
      <c r="H690" s="8">
        <f t="shared" si="21"/>
        <v>1.9715277777777778</v>
      </c>
    </row>
    <row r="691" spans="1:8" x14ac:dyDescent="0.25">
      <c r="A691">
        <v>10</v>
      </c>
      <c r="B691" s="2">
        <v>44124</v>
      </c>
      <c r="C691" s="4">
        <v>0.35833333333333334</v>
      </c>
      <c r="D691" s="4">
        <v>0.50624999999999998</v>
      </c>
      <c r="E691" s="4">
        <v>0.54027777777777775</v>
      </c>
      <c r="F691" s="4">
        <v>0.68819444444444444</v>
      </c>
      <c r="G691" s="5">
        <f t="shared" si="20"/>
        <v>7.1</v>
      </c>
      <c r="H691" s="8">
        <f t="shared" si="21"/>
        <v>0.99722222222222223</v>
      </c>
    </row>
    <row r="692" spans="1:8" x14ac:dyDescent="0.25">
      <c r="A692">
        <v>88</v>
      </c>
      <c r="B692" s="2">
        <v>44126</v>
      </c>
      <c r="C692" s="4">
        <v>0.34722222222222227</v>
      </c>
      <c r="D692" s="4">
        <v>0.51250000000000007</v>
      </c>
      <c r="E692" s="4">
        <v>0.54652777777777783</v>
      </c>
      <c r="F692" s="4">
        <v>0.70416666666666661</v>
      </c>
      <c r="G692" s="5">
        <f t="shared" si="20"/>
        <v>7.7499999999999982</v>
      </c>
      <c r="H692" s="8">
        <f t="shared" si="21"/>
        <v>1.0020833333333332</v>
      </c>
    </row>
    <row r="693" spans="1:8" x14ac:dyDescent="0.25">
      <c r="A693">
        <v>15</v>
      </c>
      <c r="B693" s="2">
        <v>44123</v>
      </c>
      <c r="C693" s="4">
        <v>0.31666666666666665</v>
      </c>
      <c r="D693" s="4">
        <v>0.5131944444444444</v>
      </c>
      <c r="E693" s="4">
        <v>0.57500000000000007</v>
      </c>
      <c r="F693" s="4">
        <v>0.6875</v>
      </c>
      <c r="G693" s="5">
        <f t="shared" si="20"/>
        <v>7.4166666666666643</v>
      </c>
      <c r="H693" s="8">
        <f t="shared" si="21"/>
        <v>1.0041666666666667</v>
      </c>
    </row>
    <row r="694" spans="1:8" x14ac:dyDescent="0.25">
      <c r="A694">
        <v>34</v>
      </c>
      <c r="B694" s="2">
        <v>44123</v>
      </c>
      <c r="C694" s="4">
        <v>0.35000000000000003</v>
      </c>
      <c r="D694" s="4">
        <v>0.51388888888888895</v>
      </c>
      <c r="E694" s="4">
        <v>0.56180555555555556</v>
      </c>
      <c r="F694" s="4">
        <v>0.68958333333333333</v>
      </c>
      <c r="G694" s="5">
        <f t="shared" si="20"/>
        <v>7</v>
      </c>
      <c r="H694" s="8">
        <f t="shared" si="21"/>
        <v>0.98402777777777772</v>
      </c>
    </row>
    <row r="695" spans="1:8" x14ac:dyDescent="0.25">
      <c r="A695">
        <v>40</v>
      </c>
      <c r="B695" s="2">
        <v>44124</v>
      </c>
      <c r="C695" s="4">
        <v>0.36041666666666666</v>
      </c>
      <c r="D695" s="4">
        <v>0.50624999999999998</v>
      </c>
      <c r="E695" s="4">
        <v>0.55277777777777781</v>
      </c>
      <c r="F695" s="4">
        <v>0.70000000000000007</v>
      </c>
      <c r="G695" s="5">
        <f t="shared" si="20"/>
        <v>7.0333333333333332</v>
      </c>
      <c r="H695" s="8">
        <f t="shared" si="21"/>
        <v>1.9826388888888888</v>
      </c>
    </row>
    <row r="696" spans="1:8" x14ac:dyDescent="0.25">
      <c r="A696">
        <v>38</v>
      </c>
      <c r="B696" s="2">
        <v>44126</v>
      </c>
      <c r="C696" s="4">
        <v>0.35069444444444442</v>
      </c>
      <c r="D696" s="4">
        <v>0.51736111111111105</v>
      </c>
      <c r="E696" s="4">
        <v>0.56944444444444442</v>
      </c>
      <c r="F696" s="4">
        <v>0.70000000000000007</v>
      </c>
      <c r="G696" s="5">
        <f t="shared" si="20"/>
        <v>7.1333333333333346</v>
      </c>
      <c r="H696" s="8">
        <f t="shared" si="21"/>
        <v>0.97569444444444442</v>
      </c>
    </row>
    <row r="697" spans="1:8" x14ac:dyDescent="0.25">
      <c r="A697">
        <v>80</v>
      </c>
      <c r="B697" s="2">
        <v>44123</v>
      </c>
      <c r="C697" s="4">
        <v>0.3263888888888889</v>
      </c>
      <c r="D697" s="4">
        <v>0.49722222222222223</v>
      </c>
      <c r="E697" s="4">
        <v>0.56527777777777777</v>
      </c>
      <c r="F697" s="4">
        <v>0.68611111111111101</v>
      </c>
      <c r="G697" s="5">
        <f t="shared" si="20"/>
        <v>6.9999999999999973</v>
      </c>
      <c r="H697" s="8">
        <f t="shared" si="21"/>
        <v>1.0041666666666667</v>
      </c>
    </row>
    <row r="698" spans="1:8" x14ac:dyDescent="0.25">
      <c r="A698">
        <v>32</v>
      </c>
      <c r="B698" s="2">
        <v>44124</v>
      </c>
      <c r="C698" s="4">
        <v>0.34791666666666665</v>
      </c>
      <c r="D698" s="4">
        <v>0.51180555555555551</v>
      </c>
      <c r="E698" s="4">
        <v>0.5444444444444444</v>
      </c>
      <c r="F698" s="4">
        <v>0.7006944444444444</v>
      </c>
      <c r="G698" s="5">
        <f t="shared" si="20"/>
        <v>7.6833333333333327</v>
      </c>
      <c r="H698" s="8">
        <f t="shared" si="21"/>
        <v>1.0034722222222223</v>
      </c>
    </row>
    <row r="699" spans="1:8" x14ac:dyDescent="0.25">
      <c r="A699">
        <v>11</v>
      </c>
      <c r="B699" s="2">
        <v>44125</v>
      </c>
      <c r="C699" s="4">
        <v>0.37291666666666662</v>
      </c>
      <c r="D699" s="4">
        <v>0.50138888888888888</v>
      </c>
      <c r="E699" s="4">
        <v>0.54027777777777775</v>
      </c>
      <c r="F699" s="4">
        <v>0.6875</v>
      </c>
      <c r="G699" s="5">
        <f t="shared" si="20"/>
        <v>6.6166666666666689</v>
      </c>
      <c r="H699" s="8">
        <f t="shared" si="21"/>
        <v>0.98263888888888895</v>
      </c>
    </row>
    <row r="700" spans="1:8" x14ac:dyDescent="0.25">
      <c r="A700">
        <v>51</v>
      </c>
      <c r="B700" s="2">
        <v>44126</v>
      </c>
      <c r="C700" s="4">
        <v>0.3840277777777778</v>
      </c>
      <c r="D700" s="4">
        <v>0.50694444444444442</v>
      </c>
      <c r="E700" s="4">
        <v>0.54027777777777775</v>
      </c>
      <c r="F700" s="4">
        <v>0.68541666666666667</v>
      </c>
      <c r="G700" s="5">
        <f t="shared" si="20"/>
        <v>6.4333333333333336</v>
      </c>
      <c r="H700" s="8">
        <f t="shared" si="21"/>
        <v>0.97152777777777777</v>
      </c>
    </row>
    <row r="701" spans="1:8" x14ac:dyDescent="0.25">
      <c r="A701">
        <v>62</v>
      </c>
      <c r="B701" s="2">
        <v>44124</v>
      </c>
      <c r="C701" s="4">
        <v>0.35694444444444445</v>
      </c>
      <c r="D701" s="4">
        <v>0.49791666666666662</v>
      </c>
      <c r="E701" s="4">
        <v>0.54791666666666672</v>
      </c>
      <c r="F701" s="4">
        <v>0.68888888888888899</v>
      </c>
      <c r="G701" s="5">
        <f t="shared" si="20"/>
        <v>6.7666666666666666</v>
      </c>
      <c r="H701" s="8">
        <f t="shared" si="21"/>
        <v>1.9909722222222221</v>
      </c>
    </row>
    <row r="702" spans="1:8" x14ac:dyDescent="0.25">
      <c r="A702">
        <v>100</v>
      </c>
      <c r="B702" s="2">
        <v>44125</v>
      </c>
      <c r="C702" s="4">
        <v>0.34236111111111112</v>
      </c>
      <c r="D702" s="4">
        <v>0.51041666666666663</v>
      </c>
      <c r="E702" s="4">
        <v>0.5708333333333333</v>
      </c>
      <c r="F702" s="4">
        <v>0.68819444444444444</v>
      </c>
      <c r="G702" s="5">
        <f t="shared" si="20"/>
        <v>6.85</v>
      </c>
      <c r="H702" s="8">
        <f t="shared" si="21"/>
        <v>0.98263888888888884</v>
      </c>
    </row>
    <row r="703" spans="1:8" x14ac:dyDescent="0.25">
      <c r="A703">
        <v>14</v>
      </c>
      <c r="B703" s="2">
        <v>44123</v>
      </c>
      <c r="C703" s="4">
        <v>0.38819444444444445</v>
      </c>
      <c r="D703" s="4">
        <v>0.50416666666666665</v>
      </c>
      <c r="E703" s="4">
        <v>0.56458333333333333</v>
      </c>
      <c r="F703" s="4">
        <v>0.6875</v>
      </c>
      <c r="G703" s="5">
        <f t="shared" si="20"/>
        <v>5.7333333333333325</v>
      </c>
      <c r="H703" s="8">
        <f t="shared" si="21"/>
        <v>1.9430555555555555</v>
      </c>
    </row>
    <row r="704" spans="1:8" x14ac:dyDescent="0.25">
      <c r="A704">
        <v>59</v>
      </c>
      <c r="B704" s="2">
        <v>44124</v>
      </c>
      <c r="C704" s="4">
        <v>0.38750000000000001</v>
      </c>
      <c r="D704" s="4">
        <v>0.51527777777777783</v>
      </c>
      <c r="E704" s="4">
        <v>0.56111111111111112</v>
      </c>
      <c r="F704" s="4">
        <v>0.69305555555555554</v>
      </c>
      <c r="G704" s="5">
        <f t="shared" si="20"/>
        <v>6.2333333333333343</v>
      </c>
      <c r="H704" s="8">
        <f t="shared" si="21"/>
        <v>1.9472222222222222</v>
      </c>
    </row>
    <row r="705" spans="1:8" x14ac:dyDescent="0.25">
      <c r="A705">
        <v>96</v>
      </c>
      <c r="B705" s="2">
        <v>44123</v>
      </c>
      <c r="C705" s="4">
        <v>0.3263888888888889</v>
      </c>
      <c r="D705" s="4">
        <v>0.50902777777777775</v>
      </c>
      <c r="E705" s="4">
        <v>0.57708333333333328</v>
      </c>
      <c r="F705" s="4">
        <v>0.69374999999999998</v>
      </c>
      <c r="G705" s="5">
        <f t="shared" si="20"/>
        <v>7.1833333333333336</v>
      </c>
      <c r="H705" s="8">
        <f t="shared" si="21"/>
        <v>0.99236111111111114</v>
      </c>
    </row>
    <row r="706" spans="1:8" x14ac:dyDescent="0.25">
      <c r="A706">
        <v>58</v>
      </c>
      <c r="B706" s="2">
        <v>44126</v>
      </c>
      <c r="C706" s="4">
        <v>0.36319444444444443</v>
      </c>
      <c r="D706" s="4">
        <v>0.50555555555555554</v>
      </c>
      <c r="E706" s="4">
        <v>0.56041666666666667</v>
      </c>
      <c r="F706" s="4">
        <v>0.6972222222222223</v>
      </c>
      <c r="G706" s="5">
        <f t="shared" si="20"/>
        <v>6.7000000000000011</v>
      </c>
      <c r="H706" s="8">
        <f t="shared" si="21"/>
        <v>1.9722222222222223</v>
      </c>
    </row>
    <row r="707" spans="1:8" x14ac:dyDescent="0.25">
      <c r="A707">
        <v>7</v>
      </c>
      <c r="B707" s="2">
        <v>44124</v>
      </c>
      <c r="C707" s="4">
        <v>0.36458333333333331</v>
      </c>
      <c r="D707" s="4">
        <v>0.51111111111111118</v>
      </c>
      <c r="E707" s="4">
        <v>0.56388888888888888</v>
      </c>
      <c r="F707" s="4">
        <v>0.70416666666666661</v>
      </c>
      <c r="G707" s="5">
        <f t="shared" si="20"/>
        <v>6.8833333333333346</v>
      </c>
      <c r="H707" s="8">
        <f t="shared" si="21"/>
        <v>1.9673611111111111</v>
      </c>
    </row>
    <row r="708" spans="1:8" x14ac:dyDescent="0.25">
      <c r="A708">
        <v>52</v>
      </c>
      <c r="B708" s="2">
        <v>44126</v>
      </c>
      <c r="C708" s="4">
        <v>0.33819444444444446</v>
      </c>
      <c r="D708" s="4">
        <v>0.50208333333333333</v>
      </c>
      <c r="E708" s="4">
        <v>0.57847222222222217</v>
      </c>
      <c r="F708" s="4">
        <v>0.68541666666666667</v>
      </c>
      <c r="G708" s="5">
        <f t="shared" si="20"/>
        <v>6.5000000000000009</v>
      </c>
      <c r="H708" s="8">
        <f t="shared" si="21"/>
        <v>0.97916666666666674</v>
      </c>
    </row>
    <row r="709" spans="1:8" x14ac:dyDescent="0.25">
      <c r="A709">
        <v>62</v>
      </c>
      <c r="B709" s="2">
        <v>44126</v>
      </c>
      <c r="C709" s="4">
        <v>0.38611111111111113</v>
      </c>
      <c r="D709" s="4">
        <v>0.50069444444444444</v>
      </c>
      <c r="E709" s="4">
        <v>0.57222222222222219</v>
      </c>
      <c r="F709" s="4">
        <v>0.69930555555555562</v>
      </c>
      <c r="G709" s="5">
        <f t="shared" si="20"/>
        <v>5.8000000000000025</v>
      </c>
      <c r="H709" s="8">
        <f t="shared" si="21"/>
        <v>1.9375</v>
      </c>
    </row>
    <row r="710" spans="1:8" x14ac:dyDescent="0.25">
      <c r="A710">
        <v>75</v>
      </c>
      <c r="B710" s="2">
        <v>44123</v>
      </c>
      <c r="C710" s="4">
        <v>0.37986111111111115</v>
      </c>
      <c r="D710" s="4">
        <v>0.5131944444444444</v>
      </c>
      <c r="E710" s="4">
        <v>0.56597222222222221</v>
      </c>
      <c r="F710" s="4">
        <v>0.69305555555555554</v>
      </c>
      <c r="G710" s="5">
        <f t="shared" si="20"/>
        <v>6.2499999999999982</v>
      </c>
      <c r="H710" s="8">
        <f t="shared" si="21"/>
        <v>1.95</v>
      </c>
    </row>
    <row r="711" spans="1:8" x14ac:dyDescent="0.25">
      <c r="A711">
        <v>95</v>
      </c>
      <c r="B711" s="2">
        <v>44126</v>
      </c>
      <c r="C711" s="4">
        <v>0.37083333333333335</v>
      </c>
      <c r="D711" s="4">
        <v>0.51736111111111105</v>
      </c>
      <c r="E711" s="4">
        <v>0.56736111111111109</v>
      </c>
      <c r="F711" s="4">
        <v>0.70416666666666661</v>
      </c>
      <c r="G711" s="5">
        <f t="shared" si="20"/>
        <v>6.7999999999999972</v>
      </c>
      <c r="H711" s="8">
        <f t="shared" si="21"/>
        <v>1.9576388888888889</v>
      </c>
    </row>
    <row r="712" spans="1:8" x14ac:dyDescent="0.25">
      <c r="A712">
        <v>18</v>
      </c>
      <c r="B712" s="2">
        <v>44126</v>
      </c>
      <c r="C712" s="4">
        <v>0.37708333333333338</v>
      </c>
      <c r="D712" s="4">
        <v>0.51041666666666663</v>
      </c>
      <c r="E712" s="4">
        <v>0.57916666666666672</v>
      </c>
      <c r="F712" s="4">
        <v>0.69236111111111109</v>
      </c>
      <c r="G712" s="5">
        <f t="shared" ref="G712:G775" si="22">((D712-C712)*24)+((F712-E712)*24)</f>
        <v>5.9166666666666625</v>
      </c>
      <c r="H712" s="8">
        <f t="shared" ref="H712:H775" si="23">MOD((TIME(8,30,0)-C712),1)+MOD((TIME(13,0,0)-E712),1)</f>
        <v>1.9395833333333332</v>
      </c>
    </row>
    <row r="713" spans="1:8" x14ac:dyDescent="0.25">
      <c r="A713">
        <v>72</v>
      </c>
      <c r="B713" s="2">
        <v>44125</v>
      </c>
      <c r="C713" s="4">
        <v>0.31458333333333333</v>
      </c>
      <c r="D713" s="4">
        <v>0.50277777777777777</v>
      </c>
      <c r="E713" s="4">
        <v>0.55555555555555558</v>
      </c>
      <c r="F713" s="4">
        <v>0.68958333333333333</v>
      </c>
      <c r="G713" s="5">
        <f t="shared" si="22"/>
        <v>7.7333333333333325</v>
      </c>
      <c r="H713" s="8">
        <f t="shared" si="23"/>
        <v>1.0256944444444445</v>
      </c>
    </row>
    <row r="714" spans="1:8" x14ac:dyDescent="0.25">
      <c r="A714">
        <v>5</v>
      </c>
      <c r="B714" s="2">
        <v>44125</v>
      </c>
      <c r="C714" s="4">
        <v>0.34375</v>
      </c>
      <c r="D714" s="4">
        <v>0.50208333333333333</v>
      </c>
      <c r="E714" s="4">
        <v>0.55902777777777779</v>
      </c>
      <c r="F714" s="4">
        <v>0.69166666666666676</v>
      </c>
      <c r="G714" s="5">
        <f t="shared" si="22"/>
        <v>6.9833333333333352</v>
      </c>
      <c r="H714" s="8">
        <f t="shared" si="23"/>
        <v>0.99305555555555558</v>
      </c>
    </row>
    <row r="715" spans="1:8" x14ac:dyDescent="0.25">
      <c r="A715">
        <v>50</v>
      </c>
      <c r="B715" s="2">
        <v>44124</v>
      </c>
      <c r="C715" s="4">
        <v>0.34722222222222227</v>
      </c>
      <c r="D715" s="4">
        <v>0.51874999999999993</v>
      </c>
      <c r="E715" s="4">
        <v>0.5541666666666667</v>
      </c>
      <c r="F715" s="4">
        <v>0.68611111111111101</v>
      </c>
      <c r="G715" s="5">
        <f t="shared" si="22"/>
        <v>7.283333333333327</v>
      </c>
      <c r="H715" s="8">
        <f t="shared" si="23"/>
        <v>0.99444444444444435</v>
      </c>
    </row>
    <row r="716" spans="1:8" x14ac:dyDescent="0.25">
      <c r="A716">
        <v>50</v>
      </c>
      <c r="B716" s="2">
        <v>44125</v>
      </c>
      <c r="C716" s="4">
        <v>0.33333333333333331</v>
      </c>
      <c r="D716" s="4">
        <v>0.51666666666666672</v>
      </c>
      <c r="E716" s="4">
        <v>0.54513888888888895</v>
      </c>
      <c r="F716" s="4">
        <v>0.6958333333333333</v>
      </c>
      <c r="G716" s="5">
        <f t="shared" si="22"/>
        <v>8.0166666666666657</v>
      </c>
      <c r="H716" s="8">
        <f t="shared" si="23"/>
        <v>1.0173611111111112</v>
      </c>
    </row>
    <row r="717" spans="1:8" x14ac:dyDescent="0.25">
      <c r="A717">
        <v>58</v>
      </c>
      <c r="B717" s="2">
        <v>44123</v>
      </c>
      <c r="C717" s="4">
        <v>0.35694444444444445</v>
      </c>
      <c r="D717" s="4">
        <v>0.51041666666666663</v>
      </c>
      <c r="E717" s="4">
        <v>0.57916666666666672</v>
      </c>
      <c r="F717" s="4">
        <v>0.70208333333333339</v>
      </c>
      <c r="G717" s="5">
        <f t="shared" si="22"/>
        <v>6.6333333333333329</v>
      </c>
      <c r="H717" s="8">
        <f t="shared" si="23"/>
        <v>1.9597222222222221</v>
      </c>
    </row>
    <row r="718" spans="1:8" x14ac:dyDescent="0.25">
      <c r="A718">
        <v>4</v>
      </c>
      <c r="B718" s="2">
        <v>44124</v>
      </c>
      <c r="C718" s="4">
        <v>0.31319444444444444</v>
      </c>
      <c r="D718" s="4">
        <v>0.51041666666666663</v>
      </c>
      <c r="E718" s="4">
        <v>0.56111111111111112</v>
      </c>
      <c r="F718" s="4">
        <v>0.69444444444444453</v>
      </c>
      <c r="G718" s="5">
        <f t="shared" si="22"/>
        <v>7.9333333333333345</v>
      </c>
      <c r="H718" s="8">
        <f t="shared" si="23"/>
        <v>1.0215277777777778</v>
      </c>
    </row>
    <row r="719" spans="1:8" x14ac:dyDescent="0.25">
      <c r="A719">
        <v>90</v>
      </c>
      <c r="B719" s="2">
        <v>44126</v>
      </c>
      <c r="C719" s="4">
        <v>0.34097222222222223</v>
      </c>
      <c r="D719" s="4">
        <v>0.50902777777777775</v>
      </c>
      <c r="E719" s="4">
        <v>0.55694444444444446</v>
      </c>
      <c r="F719" s="4">
        <v>0.68472222222222223</v>
      </c>
      <c r="G719" s="5">
        <f t="shared" si="22"/>
        <v>7.0999999999999988</v>
      </c>
      <c r="H719" s="8">
        <f t="shared" si="23"/>
        <v>0.99791666666666656</v>
      </c>
    </row>
    <row r="720" spans="1:8" x14ac:dyDescent="0.25">
      <c r="A720">
        <v>65</v>
      </c>
      <c r="B720" s="2">
        <v>44125</v>
      </c>
      <c r="C720" s="4">
        <v>0.32361111111111113</v>
      </c>
      <c r="D720" s="4">
        <v>0.50694444444444442</v>
      </c>
      <c r="E720" s="4">
        <v>0.56666666666666665</v>
      </c>
      <c r="F720" s="4">
        <v>0.70277777777777783</v>
      </c>
      <c r="G720" s="5">
        <f t="shared" si="22"/>
        <v>7.666666666666667</v>
      </c>
      <c r="H720" s="8">
        <f t="shared" si="23"/>
        <v>1.0055555555555555</v>
      </c>
    </row>
    <row r="721" spans="1:8" x14ac:dyDescent="0.25">
      <c r="A721">
        <v>47</v>
      </c>
      <c r="B721" s="2">
        <v>44123</v>
      </c>
      <c r="C721" s="4">
        <v>0.32708333333333334</v>
      </c>
      <c r="D721" s="4">
        <v>0.51527777777777783</v>
      </c>
      <c r="E721" s="4">
        <v>0.55833333333333335</v>
      </c>
      <c r="F721" s="4">
        <v>0.7006944444444444</v>
      </c>
      <c r="G721" s="5">
        <f t="shared" si="22"/>
        <v>7.9333333333333327</v>
      </c>
      <c r="H721" s="8">
        <f t="shared" si="23"/>
        <v>1.0104166666666665</v>
      </c>
    </row>
    <row r="722" spans="1:8" x14ac:dyDescent="0.25">
      <c r="A722">
        <v>25</v>
      </c>
      <c r="B722" s="2">
        <v>44124</v>
      </c>
      <c r="C722" s="4">
        <v>0.36805555555555558</v>
      </c>
      <c r="D722" s="4">
        <v>0.5</v>
      </c>
      <c r="E722" s="4">
        <v>0.54722222222222217</v>
      </c>
      <c r="F722" s="4">
        <v>0.68958333333333333</v>
      </c>
      <c r="G722" s="5">
        <f t="shared" si="22"/>
        <v>6.5833333333333339</v>
      </c>
      <c r="H722" s="8">
        <f t="shared" si="23"/>
        <v>1.9805555555555556</v>
      </c>
    </row>
    <row r="723" spans="1:8" x14ac:dyDescent="0.25">
      <c r="A723">
        <v>66</v>
      </c>
      <c r="B723" s="2">
        <v>44123</v>
      </c>
      <c r="C723" s="4">
        <v>0.35902777777777778</v>
      </c>
      <c r="D723" s="4">
        <v>0.50069444444444444</v>
      </c>
      <c r="E723" s="4">
        <v>0.54166666666666663</v>
      </c>
      <c r="F723" s="4">
        <v>0.69374999999999998</v>
      </c>
      <c r="G723" s="5">
        <f t="shared" si="22"/>
        <v>7.0500000000000007</v>
      </c>
      <c r="H723" s="8">
        <f t="shared" si="23"/>
        <v>0.99513888888888891</v>
      </c>
    </row>
    <row r="724" spans="1:8" x14ac:dyDescent="0.25">
      <c r="A724">
        <v>45</v>
      </c>
      <c r="B724" s="2">
        <v>44123</v>
      </c>
      <c r="C724" s="4">
        <v>0.34583333333333338</v>
      </c>
      <c r="D724" s="4">
        <v>0.5131944444444444</v>
      </c>
      <c r="E724" s="4">
        <v>0.5625</v>
      </c>
      <c r="F724" s="4">
        <v>0.68472222222222223</v>
      </c>
      <c r="G724" s="5">
        <f t="shared" si="22"/>
        <v>6.9499999999999975</v>
      </c>
      <c r="H724" s="8">
        <f t="shared" si="23"/>
        <v>0.98749999999999993</v>
      </c>
    </row>
    <row r="725" spans="1:8" x14ac:dyDescent="0.25">
      <c r="A725">
        <v>34</v>
      </c>
      <c r="B725" s="2">
        <v>44126</v>
      </c>
      <c r="C725" s="4">
        <v>0.32430555555555557</v>
      </c>
      <c r="D725" s="4">
        <v>0.51597222222222217</v>
      </c>
      <c r="E725" s="4">
        <v>0.54722222222222217</v>
      </c>
      <c r="F725" s="4">
        <v>0.69097222222222221</v>
      </c>
      <c r="G725" s="5">
        <f t="shared" si="22"/>
        <v>8.0499999999999989</v>
      </c>
      <c r="H725" s="8">
        <f t="shared" si="23"/>
        <v>1.0243055555555556</v>
      </c>
    </row>
    <row r="726" spans="1:8" x14ac:dyDescent="0.25">
      <c r="A726">
        <v>28</v>
      </c>
      <c r="B726" s="2">
        <v>44126</v>
      </c>
      <c r="C726" s="4">
        <v>0.31388888888888888</v>
      </c>
      <c r="D726" s="4">
        <v>0.50486111111111109</v>
      </c>
      <c r="E726" s="4">
        <v>0.56180555555555556</v>
      </c>
      <c r="F726" s="4">
        <v>0.68541666666666667</v>
      </c>
      <c r="G726" s="5">
        <f t="shared" si="22"/>
        <v>7.55</v>
      </c>
      <c r="H726" s="8">
        <f t="shared" si="23"/>
        <v>1.0201388888888889</v>
      </c>
    </row>
    <row r="727" spans="1:8" x14ac:dyDescent="0.25">
      <c r="A727">
        <v>65</v>
      </c>
      <c r="B727" s="2">
        <v>44124</v>
      </c>
      <c r="C727" s="4">
        <v>0.32291666666666669</v>
      </c>
      <c r="D727" s="4">
        <v>0.51736111111111105</v>
      </c>
      <c r="E727" s="4">
        <v>0.55347222222222225</v>
      </c>
      <c r="F727" s="4">
        <v>0.70347222222222217</v>
      </c>
      <c r="G727" s="5">
        <f t="shared" si="22"/>
        <v>8.2666666666666622</v>
      </c>
      <c r="H727" s="8">
        <f t="shared" si="23"/>
        <v>1.0194444444444444</v>
      </c>
    </row>
    <row r="728" spans="1:8" x14ac:dyDescent="0.25">
      <c r="A728">
        <v>58</v>
      </c>
      <c r="B728" s="2">
        <v>44125</v>
      </c>
      <c r="C728" s="4">
        <v>0.33611111111111108</v>
      </c>
      <c r="D728" s="4">
        <v>0.50069444444444444</v>
      </c>
      <c r="E728" s="4">
        <v>0.57638888888888895</v>
      </c>
      <c r="F728" s="4">
        <v>0.69374999999999998</v>
      </c>
      <c r="G728" s="5">
        <f t="shared" si="22"/>
        <v>6.7666666666666657</v>
      </c>
      <c r="H728" s="8">
        <f t="shared" si="23"/>
        <v>0.98333333333333328</v>
      </c>
    </row>
    <row r="729" spans="1:8" x14ac:dyDescent="0.25">
      <c r="A729">
        <v>40</v>
      </c>
      <c r="B729" s="2">
        <v>44124</v>
      </c>
      <c r="C729" s="4">
        <v>0.33055555555555555</v>
      </c>
      <c r="D729" s="4">
        <v>0.51666666666666672</v>
      </c>
      <c r="E729" s="4">
        <v>0.56388888888888888</v>
      </c>
      <c r="F729" s="4">
        <v>0.68541666666666667</v>
      </c>
      <c r="G729" s="5">
        <f t="shared" si="22"/>
        <v>7.3833333333333355</v>
      </c>
      <c r="H729" s="8">
        <f t="shared" si="23"/>
        <v>1.0013888888888889</v>
      </c>
    </row>
    <row r="730" spans="1:8" x14ac:dyDescent="0.25">
      <c r="A730">
        <v>6</v>
      </c>
      <c r="B730" s="2">
        <v>44124</v>
      </c>
      <c r="C730" s="4">
        <v>0.33888888888888885</v>
      </c>
      <c r="D730" s="4">
        <v>0.50486111111111109</v>
      </c>
      <c r="E730" s="4">
        <v>0.57638888888888895</v>
      </c>
      <c r="F730" s="4">
        <v>0.68611111111111101</v>
      </c>
      <c r="G730" s="5">
        <f t="shared" si="22"/>
        <v>6.6166666666666636</v>
      </c>
      <c r="H730" s="8">
        <f t="shared" si="23"/>
        <v>0.98055555555555551</v>
      </c>
    </row>
    <row r="731" spans="1:8" x14ac:dyDescent="0.25">
      <c r="A731">
        <v>58</v>
      </c>
      <c r="B731" s="2">
        <v>44123</v>
      </c>
      <c r="C731" s="4">
        <v>0.375</v>
      </c>
      <c r="D731" s="4">
        <v>0.50208333333333333</v>
      </c>
      <c r="E731" s="4">
        <v>0.57152777777777775</v>
      </c>
      <c r="F731" s="4">
        <v>0.69513888888888886</v>
      </c>
      <c r="G731" s="5">
        <f t="shared" si="22"/>
        <v>6.0166666666666666</v>
      </c>
      <c r="H731" s="8">
        <f t="shared" si="23"/>
        <v>1.9493055555555556</v>
      </c>
    </row>
    <row r="732" spans="1:8" x14ac:dyDescent="0.25">
      <c r="A732">
        <v>22</v>
      </c>
      <c r="B732" s="2">
        <v>44123</v>
      </c>
      <c r="C732" s="4">
        <v>0.3444444444444445</v>
      </c>
      <c r="D732" s="4">
        <v>0.50694444444444442</v>
      </c>
      <c r="E732" s="4">
        <v>0.57500000000000007</v>
      </c>
      <c r="F732" s="4">
        <v>0.70277777777777783</v>
      </c>
      <c r="G732" s="5">
        <f t="shared" si="22"/>
        <v>6.966666666666665</v>
      </c>
      <c r="H732" s="8">
        <f t="shared" si="23"/>
        <v>0.97638888888888875</v>
      </c>
    </row>
    <row r="733" spans="1:8" x14ac:dyDescent="0.25">
      <c r="A733">
        <v>26</v>
      </c>
      <c r="B733" s="2">
        <v>44126</v>
      </c>
      <c r="C733" s="4">
        <v>0.38472222222222219</v>
      </c>
      <c r="D733" s="4">
        <v>0.51874999999999993</v>
      </c>
      <c r="E733" s="4">
        <v>0.57222222222222219</v>
      </c>
      <c r="F733" s="4">
        <v>0.69166666666666676</v>
      </c>
      <c r="G733" s="5">
        <f t="shared" si="22"/>
        <v>6.0833333333333357</v>
      </c>
      <c r="H733" s="8">
        <f t="shared" si="23"/>
        <v>1.9388888888888891</v>
      </c>
    </row>
    <row r="734" spans="1:8" x14ac:dyDescent="0.25">
      <c r="A734">
        <v>69</v>
      </c>
      <c r="B734" s="2">
        <v>44123</v>
      </c>
      <c r="C734" s="4">
        <v>0.31875000000000003</v>
      </c>
      <c r="D734" s="4">
        <v>0.50347222222222221</v>
      </c>
      <c r="E734" s="4">
        <v>0.57013888888888886</v>
      </c>
      <c r="F734" s="4">
        <v>0.68680555555555556</v>
      </c>
      <c r="G734" s="5">
        <f t="shared" si="22"/>
        <v>7.2333333333333325</v>
      </c>
      <c r="H734" s="8">
        <f t="shared" si="23"/>
        <v>1.0069444444444444</v>
      </c>
    </row>
    <row r="735" spans="1:8" x14ac:dyDescent="0.25">
      <c r="A735">
        <v>5</v>
      </c>
      <c r="B735" s="2">
        <v>44123</v>
      </c>
      <c r="C735" s="4">
        <v>0.33333333333333331</v>
      </c>
      <c r="D735" s="4">
        <v>0.50208333333333333</v>
      </c>
      <c r="E735" s="4">
        <v>0.54791666666666672</v>
      </c>
      <c r="F735" s="4">
        <v>0.6972222222222223</v>
      </c>
      <c r="G735" s="5">
        <f t="shared" si="22"/>
        <v>7.6333333333333346</v>
      </c>
      <c r="H735" s="8">
        <f t="shared" si="23"/>
        <v>1.0145833333333334</v>
      </c>
    </row>
    <row r="736" spans="1:8" x14ac:dyDescent="0.25">
      <c r="A736">
        <v>51</v>
      </c>
      <c r="B736" s="2">
        <v>44123</v>
      </c>
      <c r="C736" s="4">
        <v>0.32847222222222222</v>
      </c>
      <c r="D736" s="4">
        <v>0.50902777777777775</v>
      </c>
      <c r="E736" s="4">
        <v>0.57291666666666663</v>
      </c>
      <c r="F736" s="4">
        <v>0.69166666666666676</v>
      </c>
      <c r="G736" s="5">
        <f t="shared" si="22"/>
        <v>7.1833333333333353</v>
      </c>
      <c r="H736" s="8">
        <f t="shared" si="23"/>
        <v>0.99444444444444446</v>
      </c>
    </row>
    <row r="737" spans="1:8" x14ac:dyDescent="0.25">
      <c r="A737">
        <v>95</v>
      </c>
      <c r="B737" s="2">
        <v>44126</v>
      </c>
      <c r="C737" s="4">
        <v>0.3833333333333333</v>
      </c>
      <c r="D737" s="4">
        <v>0.5</v>
      </c>
      <c r="E737" s="4">
        <v>0.57638888888888895</v>
      </c>
      <c r="F737" s="4">
        <v>0.68958333333333333</v>
      </c>
      <c r="G737" s="5">
        <f t="shared" si="22"/>
        <v>5.5166666666666657</v>
      </c>
      <c r="H737" s="8">
        <f t="shared" si="23"/>
        <v>1.9361111111111111</v>
      </c>
    </row>
    <row r="738" spans="1:8" x14ac:dyDescent="0.25">
      <c r="A738">
        <v>36</v>
      </c>
      <c r="B738" s="2">
        <v>44126</v>
      </c>
      <c r="C738" s="4">
        <v>0.36041666666666666</v>
      </c>
      <c r="D738" s="4">
        <v>0.50069444444444444</v>
      </c>
      <c r="E738" s="4">
        <v>0.5708333333333333</v>
      </c>
      <c r="F738" s="4">
        <v>0.69652777777777775</v>
      </c>
      <c r="G738" s="5">
        <f t="shared" si="22"/>
        <v>6.3833333333333329</v>
      </c>
      <c r="H738" s="8">
        <f t="shared" si="23"/>
        <v>1.9645833333333333</v>
      </c>
    </row>
    <row r="739" spans="1:8" x14ac:dyDescent="0.25">
      <c r="A739">
        <v>57</v>
      </c>
      <c r="B739" s="2">
        <v>44126</v>
      </c>
      <c r="C739" s="4">
        <v>0.34375</v>
      </c>
      <c r="D739" s="4">
        <v>0.50624999999999998</v>
      </c>
      <c r="E739" s="4">
        <v>0.56041666666666667</v>
      </c>
      <c r="F739" s="4">
        <v>0.6972222222222223</v>
      </c>
      <c r="G739" s="5">
        <f t="shared" si="22"/>
        <v>7.1833333333333345</v>
      </c>
      <c r="H739" s="8">
        <f t="shared" si="23"/>
        <v>0.9916666666666667</v>
      </c>
    </row>
    <row r="740" spans="1:8" x14ac:dyDescent="0.25">
      <c r="A740">
        <v>77</v>
      </c>
      <c r="B740" s="2">
        <v>44125</v>
      </c>
      <c r="C740" s="4">
        <v>0.32291666666666669</v>
      </c>
      <c r="D740" s="4">
        <v>0.51180555555555551</v>
      </c>
      <c r="E740" s="4">
        <v>0.56111111111111112</v>
      </c>
      <c r="F740" s="4">
        <v>0.70208333333333339</v>
      </c>
      <c r="G740" s="5">
        <f t="shared" si="22"/>
        <v>7.9166666666666661</v>
      </c>
      <c r="H740" s="8">
        <f t="shared" si="23"/>
        <v>1.0118055555555556</v>
      </c>
    </row>
    <row r="741" spans="1:8" x14ac:dyDescent="0.25">
      <c r="A741">
        <v>51</v>
      </c>
      <c r="B741" s="2">
        <v>44123</v>
      </c>
      <c r="C741" s="4">
        <v>0.35833333333333334</v>
      </c>
      <c r="D741" s="4">
        <v>0.49861111111111112</v>
      </c>
      <c r="E741" s="4">
        <v>0.56458333333333333</v>
      </c>
      <c r="F741" s="4">
        <v>0.6958333333333333</v>
      </c>
      <c r="G741" s="5">
        <f t="shared" si="22"/>
        <v>6.5166666666666657</v>
      </c>
      <c r="H741" s="8">
        <f t="shared" si="23"/>
        <v>1.9729166666666667</v>
      </c>
    </row>
    <row r="742" spans="1:8" x14ac:dyDescent="0.25">
      <c r="A742">
        <v>33</v>
      </c>
      <c r="B742" s="2">
        <v>44123</v>
      </c>
      <c r="C742" s="4">
        <v>0.3743055555555555</v>
      </c>
      <c r="D742" s="4">
        <v>0.51597222222222217</v>
      </c>
      <c r="E742" s="4">
        <v>0.54722222222222217</v>
      </c>
      <c r="F742" s="4">
        <v>0.68402777777777779</v>
      </c>
      <c r="G742" s="5">
        <f t="shared" si="22"/>
        <v>6.6833333333333353</v>
      </c>
      <c r="H742" s="8">
        <f t="shared" si="23"/>
        <v>1.9743055555555555</v>
      </c>
    </row>
    <row r="743" spans="1:8" x14ac:dyDescent="0.25">
      <c r="A743">
        <v>99</v>
      </c>
      <c r="B743" s="2">
        <v>44123</v>
      </c>
      <c r="C743" s="4">
        <v>0.3520833333333333</v>
      </c>
      <c r="D743" s="4">
        <v>0.50763888888888886</v>
      </c>
      <c r="E743" s="4">
        <v>0.56458333333333333</v>
      </c>
      <c r="F743" s="4">
        <v>0.69027777777777777</v>
      </c>
      <c r="G743" s="5">
        <f t="shared" si="22"/>
        <v>6.75</v>
      </c>
      <c r="H743" s="8">
        <f t="shared" si="23"/>
        <v>0.97916666666666674</v>
      </c>
    </row>
    <row r="744" spans="1:8" x14ac:dyDescent="0.25">
      <c r="A744">
        <v>65</v>
      </c>
      <c r="B744" s="2">
        <v>44123</v>
      </c>
      <c r="C744" s="4">
        <v>0.33333333333333331</v>
      </c>
      <c r="D744" s="4">
        <v>0.50555555555555554</v>
      </c>
      <c r="E744" s="4">
        <v>0.54236111111111118</v>
      </c>
      <c r="F744" s="4">
        <v>0.70138888888888884</v>
      </c>
      <c r="G744" s="5">
        <f t="shared" si="22"/>
        <v>7.9499999999999966</v>
      </c>
      <c r="H744" s="8">
        <f t="shared" si="23"/>
        <v>1.0201388888888889</v>
      </c>
    </row>
    <row r="745" spans="1:8" x14ac:dyDescent="0.25">
      <c r="A745">
        <v>81</v>
      </c>
      <c r="B745" s="2">
        <v>44125</v>
      </c>
      <c r="C745" s="4">
        <v>0.31666666666666665</v>
      </c>
      <c r="D745" s="4">
        <v>0.51874999999999993</v>
      </c>
      <c r="E745" s="4">
        <v>0.54583333333333328</v>
      </c>
      <c r="F745" s="4">
        <v>0.70000000000000007</v>
      </c>
      <c r="G745" s="5">
        <f t="shared" si="22"/>
        <v>8.5500000000000007</v>
      </c>
      <c r="H745" s="8">
        <f t="shared" si="23"/>
        <v>1.0333333333333334</v>
      </c>
    </row>
    <row r="746" spans="1:8" x14ac:dyDescent="0.25">
      <c r="A746">
        <v>48</v>
      </c>
      <c r="B746" s="2">
        <v>44124</v>
      </c>
      <c r="C746" s="4">
        <v>0.3430555555555555</v>
      </c>
      <c r="D746" s="4">
        <v>0.50694444444444442</v>
      </c>
      <c r="E746" s="4">
        <v>0.57013888888888886</v>
      </c>
      <c r="F746" s="4">
        <v>0.68541666666666667</v>
      </c>
      <c r="G746" s="5">
        <f t="shared" si="22"/>
        <v>6.7000000000000011</v>
      </c>
      <c r="H746" s="8">
        <f t="shared" si="23"/>
        <v>0.98263888888888895</v>
      </c>
    </row>
    <row r="747" spans="1:8" x14ac:dyDescent="0.25">
      <c r="A747">
        <v>31</v>
      </c>
      <c r="B747" s="2">
        <v>44124</v>
      </c>
      <c r="C747" s="4">
        <v>0.35694444444444445</v>
      </c>
      <c r="D747" s="4">
        <v>0.49791666666666662</v>
      </c>
      <c r="E747" s="4">
        <v>0.56319444444444444</v>
      </c>
      <c r="F747" s="4">
        <v>0.69513888888888886</v>
      </c>
      <c r="G747" s="5">
        <f t="shared" si="22"/>
        <v>6.549999999999998</v>
      </c>
      <c r="H747" s="8">
        <f t="shared" si="23"/>
        <v>1.9756944444444444</v>
      </c>
    </row>
    <row r="748" spans="1:8" x14ac:dyDescent="0.25">
      <c r="A748">
        <v>33</v>
      </c>
      <c r="B748" s="2">
        <v>44123</v>
      </c>
      <c r="C748" s="4">
        <v>0.33055555555555555</v>
      </c>
      <c r="D748" s="4">
        <v>0.51250000000000007</v>
      </c>
      <c r="E748" s="4">
        <v>0.53819444444444442</v>
      </c>
      <c r="F748" s="4">
        <v>0.68541666666666667</v>
      </c>
      <c r="G748" s="5">
        <f t="shared" si="22"/>
        <v>7.900000000000003</v>
      </c>
      <c r="H748" s="8">
        <f t="shared" si="23"/>
        <v>2.7083333333333348E-2</v>
      </c>
    </row>
    <row r="749" spans="1:8" x14ac:dyDescent="0.25">
      <c r="A749">
        <v>55</v>
      </c>
      <c r="B749" s="2">
        <v>44123</v>
      </c>
      <c r="C749" s="4">
        <v>0.3298611111111111</v>
      </c>
      <c r="D749" s="4">
        <v>0.5083333333333333</v>
      </c>
      <c r="E749" s="4">
        <v>0.55277777777777781</v>
      </c>
      <c r="F749" s="4">
        <v>0.69930555555555562</v>
      </c>
      <c r="G749" s="5">
        <f t="shared" si="22"/>
        <v>7.8000000000000007</v>
      </c>
      <c r="H749" s="8">
        <f t="shared" si="23"/>
        <v>1.0131944444444443</v>
      </c>
    </row>
    <row r="750" spans="1:8" x14ac:dyDescent="0.25">
      <c r="A750">
        <v>10</v>
      </c>
      <c r="B750" s="2">
        <v>44124</v>
      </c>
      <c r="C750" s="4">
        <v>0.36527777777777781</v>
      </c>
      <c r="D750" s="4">
        <v>0.49652777777777773</v>
      </c>
      <c r="E750" s="4">
        <v>0.53888888888888886</v>
      </c>
      <c r="F750" s="4">
        <v>0.6875</v>
      </c>
      <c r="G750" s="5">
        <f t="shared" si="22"/>
        <v>6.716666666666665</v>
      </c>
      <c r="H750" s="8">
        <f t="shared" si="23"/>
        <v>0.9916666666666667</v>
      </c>
    </row>
    <row r="751" spans="1:8" x14ac:dyDescent="0.25">
      <c r="A751">
        <v>9</v>
      </c>
      <c r="B751" s="2">
        <v>44123</v>
      </c>
      <c r="C751" s="4">
        <v>0.3756944444444445</v>
      </c>
      <c r="D751" s="4">
        <v>0.51736111111111105</v>
      </c>
      <c r="E751" s="4">
        <v>0.5756944444444444</v>
      </c>
      <c r="F751" s="4">
        <v>0.69305555555555554</v>
      </c>
      <c r="G751" s="5">
        <f t="shared" si="22"/>
        <v>6.216666666666665</v>
      </c>
      <c r="H751" s="8">
        <f t="shared" si="23"/>
        <v>1.9444444444444444</v>
      </c>
    </row>
    <row r="752" spans="1:8" x14ac:dyDescent="0.25">
      <c r="A752">
        <v>65</v>
      </c>
      <c r="B752" s="2">
        <v>44123</v>
      </c>
      <c r="C752" s="4">
        <v>0.31458333333333333</v>
      </c>
      <c r="D752" s="4">
        <v>0.50624999999999998</v>
      </c>
      <c r="E752" s="4">
        <v>0.53888888888888886</v>
      </c>
      <c r="F752" s="4">
        <v>0.68958333333333333</v>
      </c>
      <c r="G752" s="5">
        <f t="shared" si="22"/>
        <v>8.2166666666666668</v>
      </c>
      <c r="H752" s="8">
        <f t="shared" si="23"/>
        <v>4.2361111111111127E-2</v>
      </c>
    </row>
    <row r="753" spans="1:8" x14ac:dyDescent="0.25">
      <c r="A753">
        <v>60</v>
      </c>
      <c r="B753" s="2">
        <v>44125</v>
      </c>
      <c r="C753" s="4">
        <v>0.35555555555555557</v>
      </c>
      <c r="D753" s="4">
        <v>0.51250000000000007</v>
      </c>
      <c r="E753" s="4">
        <v>0.55555555555555558</v>
      </c>
      <c r="F753" s="4">
        <v>0.70138888888888884</v>
      </c>
      <c r="G753" s="5">
        <f t="shared" si="22"/>
        <v>7.2666666666666657</v>
      </c>
      <c r="H753" s="8">
        <f t="shared" si="23"/>
        <v>1.9847222222222221</v>
      </c>
    </row>
    <row r="754" spans="1:8" x14ac:dyDescent="0.25">
      <c r="A754">
        <v>53</v>
      </c>
      <c r="B754" s="2">
        <v>44123</v>
      </c>
      <c r="C754" s="4">
        <v>0.34513888888888888</v>
      </c>
      <c r="D754" s="4">
        <v>0.51736111111111105</v>
      </c>
      <c r="E754" s="4">
        <v>0.56319444444444444</v>
      </c>
      <c r="F754" s="4">
        <v>0.69444444444444453</v>
      </c>
      <c r="G754" s="5">
        <f t="shared" si="22"/>
        <v>7.2833333333333341</v>
      </c>
      <c r="H754" s="8">
        <f t="shared" si="23"/>
        <v>0.98750000000000004</v>
      </c>
    </row>
    <row r="755" spans="1:8" x14ac:dyDescent="0.25">
      <c r="A755">
        <v>55</v>
      </c>
      <c r="B755" s="2">
        <v>44125</v>
      </c>
      <c r="C755" s="4">
        <v>0.34791666666666665</v>
      </c>
      <c r="D755" s="4">
        <v>0.52013888888888882</v>
      </c>
      <c r="E755" s="4">
        <v>0.56874999999999998</v>
      </c>
      <c r="F755" s="4">
        <v>0.69236111111111109</v>
      </c>
      <c r="G755" s="5">
        <f t="shared" si="22"/>
        <v>7.0999999999999988</v>
      </c>
      <c r="H755" s="8">
        <f t="shared" si="23"/>
        <v>0.97916666666666674</v>
      </c>
    </row>
    <row r="756" spans="1:8" x14ac:dyDescent="0.25">
      <c r="A756">
        <v>33</v>
      </c>
      <c r="B756" s="2">
        <v>44123</v>
      </c>
      <c r="C756" s="4">
        <v>0.3840277777777778</v>
      </c>
      <c r="D756" s="4">
        <v>0.50138888888888888</v>
      </c>
      <c r="E756" s="4">
        <v>0.56111111111111112</v>
      </c>
      <c r="F756" s="4">
        <v>0.69652777777777775</v>
      </c>
      <c r="G756" s="5">
        <f t="shared" si="22"/>
        <v>6.0666666666666647</v>
      </c>
      <c r="H756" s="8">
        <f t="shared" si="23"/>
        <v>1.9506944444444443</v>
      </c>
    </row>
    <row r="757" spans="1:8" x14ac:dyDescent="0.25">
      <c r="A757">
        <v>43</v>
      </c>
      <c r="B757" s="2">
        <v>44126</v>
      </c>
      <c r="C757" s="4">
        <v>0.3354166666666667</v>
      </c>
      <c r="D757" s="4">
        <v>0.49722222222222223</v>
      </c>
      <c r="E757" s="4">
        <v>0.53888888888888886</v>
      </c>
      <c r="F757" s="4">
        <v>0.68819444444444444</v>
      </c>
      <c r="G757" s="5">
        <f t="shared" si="22"/>
        <v>7.4666666666666668</v>
      </c>
      <c r="H757" s="8">
        <f t="shared" si="23"/>
        <v>2.1527777777777757E-2</v>
      </c>
    </row>
    <row r="758" spans="1:8" x14ac:dyDescent="0.25">
      <c r="A758">
        <v>97</v>
      </c>
      <c r="B758" s="2">
        <v>44124</v>
      </c>
      <c r="C758" s="4">
        <v>0.34583333333333338</v>
      </c>
      <c r="D758" s="4">
        <v>0.51736111111111105</v>
      </c>
      <c r="E758" s="4">
        <v>0.55763888888888891</v>
      </c>
      <c r="F758" s="4">
        <v>0.68958333333333333</v>
      </c>
      <c r="G758" s="5">
        <f t="shared" si="22"/>
        <v>7.2833333333333297</v>
      </c>
      <c r="H758" s="8">
        <f t="shared" si="23"/>
        <v>0.99236111111111103</v>
      </c>
    </row>
    <row r="759" spans="1:8" x14ac:dyDescent="0.25">
      <c r="A759">
        <v>97</v>
      </c>
      <c r="B759" s="2">
        <v>44126</v>
      </c>
      <c r="C759" s="4">
        <v>0.3611111111111111</v>
      </c>
      <c r="D759" s="4">
        <v>0.4993055555555555</v>
      </c>
      <c r="E759" s="4">
        <v>0.56597222222222221</v>
      </c>
      <c r="F759" s="4">
        <v>0.69513888888888886</v>
      </c>
      <c r="G759" s="5">
        <f t="shared" si="22"/>
        <v>6.4166666666666652</v>
      </c>
      <c r="H759" s="8">
        <f t="shared" si="23"/>
        <v>1.96875</v>
      </c>
    </row>
    <row r="760" spans="1:8" x14ac:dyDescent="0.25">
      <c r="A760">
        <v>11</v>
      </c>
      <c r="B760" s="2">
        <v>44126</v>
      </c>
      <c r="C760" s="4">
        <v>0.32430555555555557</v>
      </c>
      <c r="D760" s="4">
        <v>0.5</v>
      </c>
      <c r="E760" s="4">
        <v>0.54999999999999993</v>
      </c>
      <c r="F760" s="4">
        <v>0.69097222222222221</v>
      </c>
      <c r="G760" s="5">
        <f t="shared" si="22"/>
        <v>7.6000000000000014</v>
      </c>
      <c r="H760" s="8">
        <f t="shared" si="23"/>
        <v>1.0215277777777778</v>
      </c>
    </row>
    <row r="761" spans="1:8" x14ac:dyDescent="0.25">
      <c r="A761">
        <v>28</v>
      </c>
      <c r="B761" s="2">
        <v>44125</v>
      </c>
      <c r="C761" s="4">
        <v>0.34513888888888888</v>
      </c>
      <c r="D761" s="4">
        <v>0.4993055555555555</v>
      </c>
      <c r="E761" s="4">
        <v>0.57847222222222217</v>
      </c>
      <c r="F761" s="4">
        <v>0.68611111111111101</v>
      </c>
      <c r="G761" s="5">
        <f t="shared" si="22"/>
        <v>6.2833333333333314</v>
      </c>
      <c r="H761" s="8">
        <f t="shared" si="23"/>
        <v>0.97222222222222232</v>
      </c>
    </row>
    <row r="762" spans="1:8" x14ac:dyDescent="0.25">
      <c r="A762">
        <v>48</v>
      </c>
      <c r="B762" s="2">
        <v>44126</v>
      </c>
      <c r="C762" s="4">
        <v>0.35486111111111113</v>
      </c>
      <c r="D762" s="4">
        <v>0.5180555555555556</v>
      </c>
      <c r="E762" s="4">
        <v>0.56736111111111109</v>
      </c>
      <c r="F762" s="4">
        <v>0.70416666666666661</v>
      </c>
      <c r="G762" s="5">
        <f t="shared" si="22"/>
        <v>7.1999999999999993</v>
      </c>
      <c r="H762" s="8">
        <f t="shared" si="23"/>
        <v>1.973611111111111</v>
      </c>
    </row>
    <row r="763" spans="1:8" x14ac:dyDescent="0.25">
      <c r="A763">
        <v>92</v>
      </c>
      <c r="B763" s="2">
        <v>44126</v>
      </c>
      <c r="C763" s="4">
        <v>0.31388888888888888</v>
      </c>
      <c r="D763" s="4">
        <v>0.49652777777777773</v>
      </c>
      <c r="E763" s="4">
        <v>0.54097222222222219</v>
      </c>
      <c r="F763" s="4">
        <v>0.69027777777777777</v>
      </c>
      <c r="G763" s="5">
        <f t="shared" si="22"/>
        <v>7.9666666666666668</v>
      </c>
      <c r="H763" s="8">
        <f t="shared" si="23"/>
        <v>4.0972222222222243E-2</v>
      </c>
    </row>
    <row r="764" spans="1:8" x14ac:dyDescent="0.25">
      <c r="A764">
        <v>33</v>
      </c>
      <c r="B764" s="2">
        <v>44126</v>
      </c>
      <c r="C764" s="4">
        <v>0.36388888888888887</v>
      </c>
      <c r="D764" s="4">
        <v>0.51597222222222217</v>
      </c>
      <c r="E764" s="4">
        <v>0.54652777777777783</v>
      </c>
      <c r="F764" s="4">
        <v>0.69513888888888886</v>
      </c>
      <c r="G764" s="5">
        <f t="shared" si="22"/>
        <v>7.2166666666666632</v>
      </c>
      <c r="H764" s="8">
        <f t="shared" si="23"/>
        <v>1.9854166666666666</v>
      </c>
    </row>
    <row r="765" spans="1:8" x14ac:dyDescent="0.25">
      <c r="A765">
        <v>51</v>
      </c>
      <c r="B765" s="2">
        <v>44126</v>
      </c>
      <c r="C765" s="4">
        <v>0.34583333333333338</v>
      </c>
      <c r="D765" s="4">
        <v>0.50208333333333333</v>
      </c>
      <c r="E765" s="4">
        <v>0.56041666666666667</v>
      </c>
      <c r="F765" s="4">
        <v>0.69861111111111107</v>
      </c>
      <c r="G765" s="5">
        <f t="shared" si="22"/>
        <v>7.0666666666666647</v>
      </c>
      <c r="H765" s="8">
        <f t="shared" si="23"/>
        <v>0.98958333333333326</v>
      </c>
    </row>
    <row r="766" spans="1:8" x14ac:dyDescent="0.25">
      <c r="A766">
        <v>34</v>
      </c>
      <c r="B766" s="2">
        <v>44124</v>
      </c>
      <c r="C766" s="4">
        <v>0.31805555555555554</v>
      </c>
      <c r="D766" s="4">
        <v>0.52013888888888882</v>
      </c>
      <c r="E766" s="4">
        <v>0.56319444444444444</v>
      </c>
      <c r="F766" s="4">
        <v>0.70277777777777783</v>
      </c>
      <c r="G766" s="5">
        <f t="shared" si="22"/>
        <v>8.1999999999999993</v>
      </c>
      <c r="H766" s="8">
        <f t="shared" si="23"/>
        <v>1.0145833333333334</v>
      </c>
    </row>
    <row r="767" spans="1:8" x14ac:dyDescent="0.25">
      <c r="A767">
        <v>15</v>
      </c>
      <c r="B767" s="2">
        <v>44124</v>
      </c>
      <c r="C767" s="4">
        <v>0.32500000000000001</v>
      </c>
      <c r="D767" s="4">
        <v>0.50347222222222221</v>
      </c>
      <c r="E767" s="4">
        <v>0.56805555555555554</v>
      </c>
      <c r="F767" s="4">
        <v>0.69097222222222221</v>
      </c>
      <c r="G767" s="5">
        <f t="shared" si="22"/>
        <v>7.2333333333333334</v>
      </c>
      <c r="H767" s="8">
        <f t="shared" si="23"/>
        <v>1.0027777777777778</v>
      </c>
    </row>
    <row r="768" spans="1:8" x14ac:dyDescent="0.25">
      <c r="A768">
        <v>47</v>
      </c>
      <c r="B768" s="2">
        <v>44124</v>
      </c>
      <c r="C768" s="4">
        <v>0.3659722222222222</v>
      </c>
      <c r="D768" s="4">
        <v>0.51874999999999993</v>
      </c>
      <c r="E768" s="4">
        <v>0.57916666666666672</v>
      </c>
      <c r="F768" s="4">
        <v>0.7006944444444444</v>
      </c>
      <c r="G768" s="5">
        <f t="shared" si="22"/>
        <v>6.5833333333333304</v>
      </c>
      <c r="H768" s="8">
        <f t="shared" si="23"/>
        <v>1.9506944444444443</v>
      </c>
    </row>
    <row r="769" spans="1:8" x14ac:dyDescent="0.25">
      <c r="A769">
        <v>44</v>
      </c>
      <c r="B769" s="2">
        <v>44123</v>
      </c>
      <c r="C769" s="4">
        <v>0.31944444444444448</v>
      </c>
      <c r="D769" s="4">
        <v>0.50902777777777775</v>
      </c>
      <c r="E769" s="4">
        <v>0.54236111111111118</v>
      </c>
      <c r="F769" s="4">
        <v>0.68819444444444444</v>
      </c>
      <c r="G769" s="5">
        <f t="shared" si="22"/>
        <v>8.0499999999999972</v>
      </c>
      <c r="H769" s="8">
        <f t="shared" si="23"/>
        <v>1.0340277777777778</v>
      </c>
    </row>
    <row r="770" spans="1:8" x14ac:dyDescent="0.25">
      <c r="A770">
        <v>91</v>
      </c>
      <c r="B770" s="2">
        <v>44124</v>
      </c>
      <c r="C770" s="4">
        <v>0.32708333333333334</v>
      </c>
      <c r="D770" s="4">
        <v>0.5</v>
      </c>
      <c r="E770" s="4">
        <v>0.54861111111111105</v>
      </c>
      <c r="F770" s="4">
        <v>0.69861111111111107</v>
      </c>
      <c r="G770" s="5">
        <f t="shared" si="22"/>
        <v>7.7500000000000009</v>
      </c>
      <c r="H770" s="8">
        <f t="shared" si="23"/>
        <v>1.0201388888888889</v>
      </c>
    </row>
    <row r="771" spans="1:8" x14ac:dyDescent="0.25">
      <c r="A771">
        <v>15</v>
      </c>
      <c r="B771" s="2">
        <v>44123</v>
      </c>
      <c r="C771" s="4">
        <v>0.35069444444444442</v>
      </c>
      <c r="D771" s="4">
        <v>0.50694444444444442</v>
      </c>
      <c r="E771" s="4">
        <v>0.53819444444444442</v>
      </c>
      <c r="F771" s="4">
        <v>0.70000000000000007</v>
      </c>
      <c r="G771" s="5">
        <f t="shared" si="22"/>
        <v>7.6333333333333355</v>
      </c>
      <c r="H771" s="8">
        <f t="shared" si="23"/>
        <v>6.9444444444444753E-3</v>
      </c>
    </row>
    <row r="772" spans="1:8" x14ac:dyDescent="0.25">
      <c r="A772">
        <v>37</v>
      </c>
      <c r="B772" s="2">
        <v>44125</v>
      </c>
      <c r="C772" s="4">
        <v>0.33055555555555555</v>
      </c>
      <c r="D772" s="4">
        <v>0.51111111111111118</v>
      </c>
      <c r="E772" s="4">
        <v>0.55555555555555558</v>
      </c>
      <c r="F772" s="4">
        <v>0.69097222222222221</v>
      </c>
      <c r="G772" s="5">
        <f t="shared" si="22"/>
        <v>7.5833333333333348</v>
      </c>
      <c r="H772" s="8">
        <f t="shared" si="23"/>
        <v>1.0097222222222222</v>
      </c>
    </row>
    <row r="773" spans="1:8" x14ac:dyDescent="0.25">
      <c r="A773">
        <v>41</v>
      </c>
      <c r="B773" s="2">
        <v>44124</v>
      </c>
      <c r="C773" s="4">
        <v>0.31944444444444448</v>
      </c>
      <c r="D773" s="4">
        <v>0.50763888888888886</v>
      </c>
      <c r="E773" s="4">
        <v>0.54305555555555551</v>
      </c>
      <c r="F773" s="4">
        <v>0.69791666666666663</v>
      </c>
      <c r="G773" s="5">
        <f t="shared" si="22"/>
        <v>8.2333333333333325</v>
      </c>
      <c r="H773" s="8">
        <f t="shared" si="23"/>
        <v>1.0333333333333332</v>
      </c>
    </row>
    <row r="774" spans="1:8" x14ac:dyDescent="0.25">
      <c r="A774">
        <v>46</v>
      </c>
      <c r="B774" s="2">
        <v>44124</v>
      </c>
      <c r="C774" s="4">
        <v>0.31319444444444444</v>
      </c>
      <c r="D774" s="4">
        <v>0.51458333333333328</v>
      </c>
      <c r="E774" s="4">
        <v>0.57847222222222217</v>
      </c>
      <c r="F774" s="4">
        <v>0.70347222222222217</v>
      </c>
      <c r="G774" s="5">
        <f t="shared" si="22"/>
        <v>7.8333333333333321</v>
      </c>
      <c r="H774" s="8">
        <f t="shared" si="23"/>
        <v>1.0041666666666667</v>
      </c>
    </row>
    <row r="775" spans="1:8" x14ac:dyDescent="0.25">
      <c r="A775">
        <v>43</v>
      </c>
      <c r="B775" s="2">
        <v>44126</v>
      </c>
      <c r="C775" s="4">
        <v>0.38680555555555557</v>
      </c>
      <c r="D775" s="4">
        <v>0.49791666666666662</v>
      </c>
      <c r="E775" s="4">
        <v>0.54236111111111118</v>
      </c>
      <c r="F775" s="4">
        <v>0.69791666666666663</v>
      </c>
      <c r="G775" s="5">
        <f t="shared" si="22"/>
        <v>6.3999999999999959</v>
      </c>
      <c r="H775" s="8">
        <f t="shared" si="23"/>
        <v>1.9666666666666666</v>
      </c>
    </row>
    <row r="776" spans="1:8" x14ac:dyDescent="0.25">
      <c r="A776">
        <v>38</v>
      </c>
      <c r="B776" s="2">
        <v>44125</v>
      </c>
      <c r="C776" s="4">
        <v>0.33055555555555555</v>
      </c>
      <c r="D776" s="4">
        <v>0.51944444444444449</v>
      </c>
      <c r="E776" s="4">
        <v>0.55972222222222223</v>
      </c>
      <c r="F776" s="4">
        <v>0.68402777777777779</v>
      </c>
      <c r="G776" s="5">
        <f t="shared" ref="G776:G839" si="24">((D776-C776)*24)+((F776-E776)*24)</f>
        <v>7.5166666666666684</v>
      </c>
      <c r="H776" s="8">
        <f t="shared" ref="H776:H839" si="25">MOD((TIME(8,30,0)-C776),1)+MOD((TIME(13,0,0)-E776),1)</f>
        <v>1.0055555555555555</v>
      </c>
    </row>
    <row r="777" spans="1:8" x14ac:dyDescent="0.25">
      <c r="A777">
        <v>56</v>
      </c>
      <c r="B777" s="2">
        <v>44126</v>
      </c>
      <c r="C777" s="4">
        <v>0.3354166666666667</v>
      </c>
      <c r="D777" s="4">
        <v>0.51874999999999993</v>
      </c>
      <c r="E777" s="4">
        <v>0.57291666666666663</v>
      </c>
      <c r="F777" s="4">
        <v>0.69791666666666663</v>
      </c>
      <c r="G777" s="5">
        <f t="shared" si="24"/>
        <v>7.3999999999999977</v>
      </c>
      <c r="H777" s="8">
        <f t="shared" si="25"/>
        <v>0.98750000000000004</v>
      </c>
    </row>
    <row r="778" spans="1:8" x14ac:dyDescent="0.25">
      <c r="A778">
        <v>66</v>
      </c>
      <c r="B778" s="2">
        <v>44125</v>
      </c>
      <c r="C778" s="4">
        <v>0.33263888888888887</v>
      </c>
      <c r="D778" s="4">
        <v>0.5083333333333333</v>
      </c>
      <c r="E778" s="4">
        <v>0.56874999999999998</v>
      </c>
      <c r="F778" s="4">
        <v>0.6958333333333333</v>
      </c>
      <c r="G778" s="5">
        <f t="shared" si="24"/>
        <v>7.2666666666666666</v>
      </c>
      <c r="H778" s="8">
        <f t="shared" si="25"/>
        <v>0.99444444444444446</v>
      </c>
    </row>
    <row r="779" spans="1:8" x14ac:dyDescent="0.25">
      <c r="A779">
        <v>30</v>
      </c>
      <c r="B779" s="2">
        <v>44126</v>
      </c>
      <c r="C779" s="4">
        <v>0.33194444444444443</v>
      </c>
      <c r="D779" s="4">
        <v>0.50208333333333333</v>
      </c>
      <c r="E779" s="4">
        <v>0.56319444444444444</v>
      </c>
      <c r="F779" s="4">
        <v>0.7006944444444444</v>
      </c>
      <c r="G779" s="5">
        <f t="shared" si="24"/>
        <v>7.3833333333333329</v>
      </c>
      <c r="H779" s="8">
        <f t="shared" si="25"/>
        <v>1.0006944444444446</v>
      </c>
    </row>
    <row r="780" spans="1:8" x14ac:dyDescent="0.25">
      <c r="A780">
        <v>24</v>
      </c>
      <c r="B780" s="2">
        <v>44123</v>
      </c>
      <c r="C780" s="4">
        <v>0.32708333333333334</v>
      </c>
      <c r="D780" s="4">
        <v>0.49861111111111112</v>
      </c>
      <c r="E780" s="4">
        <v>0.56319444444444444</v>
      </c>
      <c r="F780" s="4">
        <v>0.70000000000000007</v>
      </c>
      <c r="G780" s="5">
        <f t="shared" si="24"/>
        <v>7.4000000000000021</v>
      </c>
      <c r="H780" s="8">
        <f t="shared" si="25"/>
        <v>1.0055555555555555</v>
      </c>
    </row>
    <row r="781" spans="1:8" x14ac:dyDescent="0.25">
      <c r="A781">
        <v>50</v>
      </c>
      <c r="B781" s="2">
        <v>44124</v>
      </c>
      <c r="C781" s="4">
        <v>0.32013888888888892</v>
      </c>
      <c r="D781" s="4">
        <v>0.49652777777777773</v>
      </c>
      <c r="E781" s="4">
        <v>0.57500000000000007</v>
      </c>
      <c r="F781" s="4">
        <v>0.68958333333333333</v>
      </c>
      <c r="G781" s="5">
        <f t="shared" si="24"/>
        <v>6.9833333333333298</v>
      </c>
      <c r="H781" s="8">
        <f t="shared" si="25"/>
        <v>1.0006944444444443</v>
      </c>
    </row>
    <row r="782" spans="1:8" x14ac:dyDescent="0.25">
      <c r="A782">
        <v>30</v>
      </c>
      <c r="B782" s="2">
        <v>44123</v>
      </c>
      <c r="C782" s="4">
        <v>0.3659722222222222</v>
      </c>
      <c r="D782" s="4">
        <v>0.49722222222222223</v>
      </c>
      <c r="E782" s="4">
        <v>0.56388888888888888</v>
      </c>
      <c r="F782" s="4">
        <v>0.68472222222222223</v>
      </c>
      <c r="G782" s="5">
        <f t="shared" si="24"/>
        <v>6.0500000000000007</v>
      </c>
      <c r="H782" s="8">
        <f t="shared" si="25"/>
        <v>1.9659722222222222</v>
      </c>
    </row>
    <row r="783" spans="1:8" x14ac:dyDescent="0.25">
      <c r="A783">
        <v>83</v>
      </c>
      <c r="B783" s="2">
        <v>44126</v>
      </c>
      <c r="C783" s="4">
        <v>0.38819444444444445</v>
      </c>
      <c r="D783" s="4">
        <v>0.51736111111111105</v>
      </c>
      <c r="E783" s="4">
        <v>0.5708333333333333</v>
      </c>
      <c r="F783" s="4">
        <v>0.69930555555555562</v>
      </c>
      <c r="G783" s="5">
        <f t="shared" si="24"/>
        <v>6.1833333333333336</v>
      </c>
      <c r="H783" s="8">
        <f t="shared" si="25"/>
        <v>1.9368055555555554</v>
      </c>
    </row>
    <row r="784" spans="1:8" x14ac:dyDescent="0.25">
      <c r="A784">
        <v>27</v>
      </c>
      <c r="B784" s="2">
        <v>44124</v>
      </c>
      <c r="C784" s="4">
        <v>0.33819444444444446</v>
      </c>
      <c r="D784" s="4">
        <v>0.5</v>
      </c>
      <c r="E784" s="4">
        <v>0.55208333333333337</v>
      </c>
      <c r="F784" s="4">
        <v>0.7006944444444444</v>
      </c>
      <c r="G784" s="5">
        <f t="shared" si="24"/>
        <v>7.4499999999999975</v>
      </c>
      <c r="H784" s="8">
        <f t="shared" si="25"/>
        <v>1.0055555555555555</v>
      </c>
    </row>
    <row r="785" spans="1:8" x14ac:dyDescent="0.25">
      <c r="A785">
        <v>71</v>
      </c>
      <c r="B785" s="2">
        <v>44125</v>
      </c>
      <c r="C785" s="4">
        <v>0.38819444444444445</v>
      </c>
      <c r="D785" s="4">
        <v>0.5131944444444444</v>
      </c>
      <c r="E785" s="4">
        <v>0.54305555555555551</v>
      </c>
      <c r="F785" s="4">
        <v>0.70138888888888884</v>
      </c>
      <c r="G785" s="5">
        <f t="shared" si="24"/>
        <v>6.7999999999999989</v>
      </c>
      <c r="H785" s="8">
        <f t="shared" si="25"/>
        <v>1.9645833333333333</v>
      </c>
    </row>
    <row r="786" spans="1:8" x14ac:dyDescent="0.25">
      <c r="A786">
        <v>64</v>
      </c>
      <c r="B786" s="2">
        <v>44126</v>
      </c>
      <c r="C786" s="4">
        <v>0.35694444444444445</v>
      </c>
      <c r="D786" s="4">
        <v>0.4993055555555555</v>
      </c>
      <c r="E786" s="4">
        <v>0.56527777777777777</v>
      </c>
      <c r="F786" s="4">
        <v>0.68402777777777779</v>
      </c>
      <c r="G786" s="5">
        <f t="shared" si="24"/>
        <v>6.2666666666666657</v>
      </c>
      <c r="H786" s="8">
        <f t="shared" si="25"/>
        <v>1.973611111111111</v>
      </c>
    </row>
    <row r="787" spans="1:8" x14ac:dyDescent="0.25">
      <c r="A787">
        <v>58</v>
      </c>
      <c r="B787" s="2">
        <v>44126</v>
      </c>
      <c r="C787" s="4">
        <v>0.33333333333333331</v>
      </c>
      <c r="D787" s="4">
        <v>0.50416666666666665</v>
      </c>
      <c r="E787" s="4">
        <v>0.56319444444444444</v>
      </c>
      <c r="F787" s="4">
        <v>0.69305555555555554</v>
      </c>
      <c r="G787" s="5">
        <f t="shared" si="24"/>
        <v>7.2166666666666659</v>
      </c>
      <c r="H787" s="8">
        <f t="shared" si="25"/>
        <v>0.99930555555555556</v>
      </c>
    </row>
    <row r="788" spans="1:8" x14ac:dyDescent="0.25">
      <c r="A788">
        <v>94</v>
      </c>
      <c r="B788" s="2">
        <v>44124</v>
      </c>
      <c r="C788" s="4">
        <v>0.3215277777777778</v>
      </c>
      <c r="D788" s="4">
        <v>0.50486111111111109</v>
      </c>
      <c r="E788" s="4">
        <v>0.57847222222222217</v>
      </c>
      <c r="F788" s="4">
        <v>0.69166666666666676</v>
      </c>
      <c r="G788" s="5">
        <f t="shared" si="24"/>
        <v>7.1166666666666689</v>
      </c>
      <c r="H788" s="8">
        <f t="shared" si="25"/>
        <v>0.99583333333333335</v>
      </c>
    </row>
    <row r="789" spans="1:8" x14ac:dyDescent="0.25">
      <c r="A789">
        <v>69</v>
      </c>
      <c r="B789" s="2">
        <v>44123</v>
      </c>
      <c r="C789" s="4">
        <v>0.38263888888888892</v>
      </c>
      <c r="D789" s="4">
        <v>0.50555555555555554</v>
      </c>
      <c r="E789" s="4">
        <v>0.55347222222222225</v>
      </c>
      <c r="F789" s="4">
        <v>0.70138888888888884</v>
      </c>
      <c r="G789" s="5">
        <f t="shared" si="24"/>
        <v>6.4999999999999964</v>
      </c>
      <c r="H789" s="8">
        <f t="shared" si="25"/>
        <v>1.9597222222222221</v>
      </c>
    </row>
    <row r="790" spans="1:8" x14ac:dyDescent="0.25">
      <c r="A790">
        <v>93</v>
      </c>
      <c r="B790" s="2">
        <v>44126</v>
      </c>
      <c r="C790" s="4">
        <v>0.33888888888888885</v>
      </c>
      <c r="D790" s="4">
        <v>0.50277777777777777</v>
      </c>
      <c r="E790" s="4">
        <v>0.55833333333333335</v>
      </c>
      <c r="F790" s="4">
        <v>0.68958333333333333</v>
      </c>
      <c r="G790" s="5">
        <f t="shared" si="24"/>
        <v>7.0833333333333339</v>
      </c>
      <c r="H790" s="8">
        <f t="shared" si="25"/>
        <v>0.99861111111111112</v>
      </c>
    </row>
    <row r="791" spans="1:8" x14ac:dyDescent="0.25">
      <c r="A791">
        <v>98</v>
      </c>
      <c r="B791" s="2">
        <v>44125</v>
      </c>
      <c r="C791" s="4">
        <v>0.36805555555555558</v>
      </c>
      <c r="D791" s="4">
        <v>0.50624999999999998</v>
      </c>
      <c r="E791" s="4">
        <v>0.56944444444444442</v>
      </c>
      <c r="F791" s="4">
        <v>0.69236111111111109</v>
      </c>
      <c r="G791" s="5">
        <f t="shared" si="24"/>
        <v>6.2666666666666657</v>
      </c>
      <c r="H791" s="8">
        <f t="shared" si="25"/>
        <v>1.9583333333333335</v>
      </c>
    </row>
    <row r="792" spans="1:8" x14ac:dyDescent="0.25">
      <c r="A792">
        <v>81</v>
      </c>
      <c r="B792" s="2">
        <v>44126</v>
      </c>
      <c r="C792" s="4">
        <v>0.33194444444444443</v>
      </c>
      <c r="D792" s="4">
        <v>0.5180555555555556</v>
      </c>
      <c r="E792" s="4">
        <v>0.54999999999999993</v>
      </c>
      <c r="F792" s="4">
        <v>0.69236111111111109</v>
      </c>
      <c r="G792" s="5">
        <f t="shared" si="24"/>
        <v>7.8833333333333364</v>
      </c>
      <c r="H792" s="8">
        <f t="shared" si="25"/>
        <v>1.0138888888888888</v>
      </c>
    </row>
    <row r="793" spans="1:8" x14ac:dyDescent="0.25">
      <c r="A793">
        <v>69</v>
      </c>
      <c r="B793" s="2">
        <v>44126</v>
      </c>
      <c r="C793" s="4">
        <v>0.3347222222222222</v>
      </c>
      <c r="D793" s="4">
        <v>0.51736111111111105</v>
      </c>
      <c r="E793" s="4">
        <v>0.5708333333333333</v>
      </c>
      <c r="F793" s="4">
        <v>0.69305555555555554</v>
      </c>
      <c r="G793" s="5">
        <f t="shared" si="24"/>
        <v>7.3166666666666664</v>
      </c>
      <c r="H793" s="8">
        <f t="shared" si="25"/>
        <v>0.99027777777777781</v>
      </c>
    </row>
    <row r="794" spans="1:8" x14ac:dyDescent="0.25">
      <c r="A794">
        <v>31</v>
      </c>
      <c r="B794" s="2">
        <v>44124</v>
      </c>
      <c r="C794" s="4">
        <v>0.31527777777777777</v>
      </c>
      <c r="D794" s="4">
        <v>0.51041666666666663</v>
      </c>
      <c r="E794" s="4">
        <v>0.54652777777777783</v>
      </c>
      <c r="F794" s="4">
        <v>0.68541666666666667</v>
      </c>
      <c r="G794" s="5">
        <f t="shared" si="24"/>
        <v>8.0166666666666657</v>
      </c>
      <c r="H794" s="8">
        <f t="shared" si="25"/>
        <v>1.0340277777777778</v>
      </c>
    </row>
    <row r="795" spans="1:8" x14ac:dyDescent="0.25">
      <c r="A795">
        <v>60</v>
      </c>
      <c r="B795" s="2">
        <v>44126</v>
      </c>
      <c r="C795" s="4">
        <v>0.37638888888888888</v>
      </c>
      <c r="D795" s="4">
        <v>0.5</v>
      </c>
      <c r="E795" s="4">
        <v>0.5395833333333333</v>
      </c>
      <c r="F795" s="4">
        <v>0.6972222222222223</v>
      </c>
      <c r="G795" s="5">
        <f t="shared" si="24"/>
        <v>6.7500000000000027</v>
      </c>
      <c r="H795" s="8">
        <f t="shared" si="25"/>
        <v>0.97986111111111118</v>
      </c>
    </row>
    <row r="796" spans="1:8" x14ac:dyDescent="0.25">
      <c r="A796">
        <v>68</v>
      </c>
      <c r="B796" s="2">
        <v>44123</v>
      </c>
      <c r="C796" s="4">
        <v>0.32916666666666666</v>
      </c>
      <c r="D796" s="4">
        <v>0.49652777777777773</v>
      </c>
      <c r="E796" s="4">
        <v>0.54513888888888895</v>
      </c>
      <c r="F796" s="4">
        <v>0.68888888888888899</v>
      </c>
      <c r="G796" s="5">
        <f t="shared" si="24"/>
        <v>7.4666666666666668</v>
      </c>
      <c r="H796" s="8">
        <f t="shared" si="25"/>
        <v>1.0215277777777776</v>
      </c>
    </row>
    <row r="797" spans="1:8" x14ac:dyDescent="0.25">
      <c r="A797">
        <v>93</v>
      </c>
      <c r="B797" s="2">
        <v>44124</v>
      </c>
      <c r="C797" s="4">
        <v>0.3527777777777778</v>
      </c>
      <c r="D797" s="4">
        <v>0.50972222222222219</v>
      </c>
      <c r="E797" s="4">
        <v>0.57708333333333328</v>
      </c>
      <c r="F797" s="4">
        <v>0.6972222222222223</v>
      </c>
      <c r="G797" s="5">
        <f t="shared" si="24"/>
        <v>6.6500000000000021</v>
      </c>
      <c r="H797" s="8">
        <f t="shared" si="25"/>
        <v>0.96597222222222223</v>
      </c>
    </row>
    <row r="798" spans="1:8" x14ac:dyDescent="0.25">
      <c r="A798">
        <v>55</v>
      </c>
      <c r="B798" s="2">
        <v>44123</v>
      </c>
      <c r="C798" s="4">
        <v>0.33958333333333335</v>
      </c>
      <c r="D798" s="4">
        <v>0.49652777777777773</v>
      </c>
      <c r="E798" s="4">
        <v>0.57777777777777783</v>
      </c>
      <c r="F798" s="4">
        <v>0.68472222222222223</v>
      </c>
      <c r="G798" s="5">
        <f t="shared" si="24"/>
        <v>6.3333333333333304</v>
      </c>
      <c r="H798" s="8">
        <f t="shared" si="25"/>
        <v>0.97847222222222219</v>
      </c>
    </row>
    <row r="799" spans="1:8" x14ac:dyDescent="0.25">
      <c r="A799">
        <v>67</v>
      </c>
      <c r="B799" s="2">
        <v>44125</v>
      </c>
      <c r="C799" s="4">
        <v>0.37083333333333335</v>
      </c>
      <c r="D799" s="4">
        <v>0.50555555555555554</v>
      </c>
      <c r="E799" s="4">
        <v>0.55347222222222225</v>
      </c>
      <c r="F799" s="4">
        <v>0.69236111111111109</v>
      </c>
      <c r="G799" s="5">
        <f t="shared" si="24"/>
        <v>6.5666666666666647</v>
      </c>
      <c r="H799" s="8">
        <f t="shared" si="25"/>
        <v>1.9715277777777778</v>
      </c>
    </row>
    <row r="800" spans="1:8" x14ac:dyDescent="0.25">
      <c r="A800">
        <v>78</v>
      </c>
      <c r="B800" s="2">
        <v>44124</v>
      </c>
      <c r="C800" s="4">
        <v>0.33611111111111108</v>
      </c>
      <c r="D800" s="4">
        <v>0.50624999999999998</v>
      </c>
      <c r="E800" s="4">
        <v>0.56319444444444444</v>
      </c>
      <c r="F800" s="4">
        <v>0.69861111111111107</v>
      </c>
      <c r="G800" s="5">
        <f t="shared" si="24"/>
        <v>7.333333333333333</v>
      </c>
      <c r="H800" s="8">
        <f t="shared" si="25"/>
        <v>0.99652777777777779</v>
      </c>
    </row>
    <row r="801" spans="1:8" x14ac:dyDescent="0.25">
      <c r="A801">
        <v>64</v>
      </c>
      <c r="B801" s="2">
        <v>44125</v>
      </c>
      <c r="C801" s="4">
        <v>0.34097222222222223</v>
      </c>
      <c r="D801" s="4">
        <v>0.50069444444444444</v>
      </c>
      <c r="E801" s="4">
        <v>0.57847222222222217</v>
      </c>
      <c r="F801" s="4">
        <v>0.69027777777777777</v>
      </c>
      <c r="G801" s="5">
        <f t="shared" si="24"/>
        <v>6.5166666666666675</v>
      </c>
      <c r="H801" s="8">
        <f t="shared" si="25"/>
        <v>0.97638888888888897</v>
      </c>
    </row>
    <row r="802" spans="1:8" x14ac:dyDescent="0.25">
      <c r="A802">
        <v>68</v>
      </c>
      <c r="B802" s="2">
        <v>44126</v>
      </c>
      <c r="C802" s="4">
        <v>0.38611111111111113</v>
      </c>
      <c r="D802" s="4">
        <v>0.52013888888888882</v>
      </c>
      <c r="E802" s="4">
        <v>0.57638888888888895</v>
      </c>
      <c r="F802" s="4">
        <v>0.68472222222222223</v>
      </c>
      <c r="G802" s="5">
        <f t="shared" si="24"/>
        <v>5.8166666666666629</v>
      </c>
      <c r="H802" s="8">
        <f t="shared" si="25"/>
        <v>1.9333333333333331</v>
      </c>
    </row>
    <row r="803" spans="1:8" x14ac:dyDescent="0.25">
      <c r="A803">
        <v>4</v>
      </c>
      <c r="B803" s="2">
        <v>44124</v>
      </c>
      <c r="C803" s="4">
        <v>0.34583333333333338</v>
      </c>
      <c r="D803" s="4">
        <v>0.50138888888888888</v>
      </c>
      <c r="E803" s="4">
        <v>0.55486111111111114</v>
      </c>
      <c r="F803" s="4">
        <v>0.69513888888888886</v>
      </c>
      <c r="G803" s="5">
        <f t="shared" si="24"/>
        <v>7.0999999999999979</v>
      </c>
      <c r="H803" s="8">
        <f t="shared" si="25"/>
        <v>0.9951388888888888</v>
      </c>
    </row>
    <row r="804" spans="1:8" x14ac:dyDescent="0.25">
      <c r="A804">
        <v>81</v>
      </c>
      <c r="B804" s="2">
        <v>44124</v>
      </c>
      <c r="C804" s="4">
        <v>0.35138888888888892</v>
      </c>
      <c r="D804" s="4">
        <v>0.51180555555555551</v>
      </c>
      <c r="E804" s="4">
        <v>0.57847222222222217</v>
      </c>
      <c r="F804" s="4">
        <v>0.69305555555555554</v>
      </c>
      <c r="G804" s="5">
        <f t="shared" si="24"/>
        <v>6.6</v>
      </c>
      <c r="H804" s="8">
        <f t="shared" si="25"/>
        <v>0.96597222222222223</v>
      </c>
    </row>
    <row r="805" spans="1:8" x14ac:dyDescent="0.25">
      <c r="A805">
        <v>2</v>
      </c>
      <c r="B805" s="2">
        <v>44125</v>
      </c>
      <c r="C805" s="4">
        <v>0.33958333333333335</v>
      </c>
      <c r="D805" s="4">
        <v>0.50416666666666665</v>
      </c>
      <c r="E805" s="4">
        <v>0.57500000000000007</v>
      </c>
      <c r="F805" s="4">
        <v>0.68611111111111101</v>
      </c>
      <c r="G805" s="5">
        <f t="shared" si="24"/>
        <v>6.6166666666666618</v>
      </c>
      <c r="H805" s="8">
        <f t="shared" si="25"/>
        <v>0.98124999999999996</v>
      </c>
    </row>
    <row r="806" spans="1:8" x14ac:dyDescent="0.25">
      <c r="A806">
        <v>2</v>
      </c>
      <c r="B806" s="2">
        <v>44126</v>
      </c>
      <c r="C806" s="4">
        <v>0.31875000000000003</v>
      </c>
      <c r="D806" s="4">
        <v>0.51736111111111105</v>
      </c>
      <c r="E806" s="4">
        <v>0.56874999999999998</v>
      </c>
      <c r="F806" s="4">
        <v>0.70208333333333339</v>
      </c>
      <c r="G806" s="5">
        <f t="shared" si="24"/>
        <v>7.9666666666666659</v>
      </c>
      <c r="H806" s="8">
        <f t="shared" si="25"/>
        <v>1.0083333333333333</v>
      </c>
    </row>
    <row r="807" spans="1:8" x14ac:dyDescent="0.25">
      <c r="A807">
        <v>24</v>
      </c>
      <c r="B807" s="2">
        <v>44123</v>
      </c>
      <c r="C807" s="4">
        <v>0.3298611111111111</v>
      </c>
      <c r="D807" s="4">
        <v>0.50138888888888888</v>
      </c>
      <c r="E807" s="4">
        <v>0.55069444444444449</v>
      </c>
      <c r="F807" s="4">
        <v>0.68888888888888899</v>
      </c>
      <c r="G807" s="5">
        <f t="shared" si="24"/>
        <v>7.4333333333333353</v>
      </c>
      <c r="H807" s="8">
        <f t="shared" si="25"/>
        <v>1.0152777777777777</v>
      </c>
    </row>
    <row r="808" spans="1:8" x14ac:dyDescent="0.25">
      <c r="A808">
        <v>80</v>
      </c>
      <c r="B808" s="2">
        <v>44124</v>
      </c>
      <c r="C808" s="4">
        <v>0.35138888888888892</v>
      </c>
      <c r="D808" s="4">
        <v>0.49652777777777773</v>
      </c>
      <c r="E808" s="4">
        <v>0.55694444444444446</v>
      </c>
      <c r="F808" s="4">
        <v>0.69027777777777777</v>
      </c>
      <c r="G808" s="5">
        <f t="shared" si="24"/>
        <v>6.6833333333333309</v>
      </c>
      <c r="H808" s="8">
        <f t="shared" si="25"/>
        <v>0.98749999999999993</v>
      </c>
    </row>
    <row r="809" spans="1:8" x14ac:dyDescent="0.25">
      <c r="A809">
        <v>87</v>
      </c>
      <c r="B809" s="2">
        <v>44126</v>
      </c>
      <c r="C809" s="4">
        <v>0.33749999999999997</v>
      </c>
      <c r="D809" s="4">
        <v>0.49652777777777773</v>
      </c>
      <c r="E809" s="4">
        <v>0.5756944444444444</v>
      </c>
      <c r="F809" s="4">
        <v>0.69444444444444453</v>
      </c>
      <c r="G809" s="5">
        <f t="shared" si="24"/>
        <v>6.6666666666666696</v>
      </c>
      <c r="H809" s="8">
        <f t="shared" si="25"/>
        <v>0.98263888888888895</v>
      </c>
    </row>
    <row r="810" spans="1:8" x14ac:dyDescent="0.25">
      <c r="A810">
        <v>94</v>
      </c>
      <c r="B810" s="2">
        <v>44126</v>
      </c>
      <c r="C810" s="4">
        <v>0.32500000000000001</v>
      </c>
      <c r="D810" s="4">
        <v>0.51527777777777783</v>
      </c>
      <c r="E810" s="4">
        <v>0.57361111111111118</v>
      </c>
      <c r="F810" s="4">
        <v>0.6958333333333333</v>
      </c>
      <c r="G810" s="5">
        <f t="shared" si="24"/>
        <v>7.4999999999999991</v>
      </c>
      <c r="H810" s="8">
        <f t="shared" si="25"/>
        <v>0.99722222222222212</v>
      </c>
    </row>
    <row r="811" spans="1:8" x14ac:dyDescent="0.25">
      <c r="A811">
        <v>32</v>
      </c>
      <c r="B811" s="2">
        <v>44126</v>
      </c>
      <c r="C811" s="4">
        <v>0.33749999999999997</v>
      </c>
      <c r="D811" s="4">
        <v>0.51944444444444449</v>
      </c>
      <c r="E811" s="4">
        <v>0.56527777777777777</v>
      </c>
      <c r="F811" s="4">
        <v>0.7006944444444444</v>
      </c>
      <c r="G811" s="5">
        <f t="shared" si="24"/>
        <v>7.616666666666668</v>
      </c>
      <c r="H811" s="8">
        <f t="shared" si="25"/>
        <v>0.99305555555555558</v>
      </c>
    </row>
    <row r="812" spans="1:8" x14ac:dyDescent="0.25">
      <c r="A812">
        <v>49</v>
      </c>
      <c r="B812" s="2">
        <v>44125</v>
      </c>
      <c r="C812" s="4">
        <v>0.35625000000000001</v>
      </c>
      <c r="D812" s="4">
        <v>0.50208333333333333</v>
      </c>
      <c r="E812" s="4">
        <v>0.57500000000000007</v>
      </c>
      <c r="F812" s="4">
        <v>0.69374999999999998</v>
      </c>
      <c r="G812" s="5">
        <f t="shared" si="24"/>
        <v>6.3499999999999979</v>
      </c>
      <c r="H812" s="8">
        <f t="shared" si="25"/>
        <v>1.9645833333333331</v>
      </c>
    </row>
    <row r="813" spans="1:8" x14ac:dyDescent="0.25">
      <c r="A813">
        <v>26</v>
      </c>
      <c r="B813" s="2">
        <v>44123</v>
      </c>
      <c r="C813" s="4">
        <v>0.37222222222222223</v>
      </c>
      <c r="D813" s="4">
        <v>0.50486111111111109</v>
      </c>
      <c r="E813" s="4">
        <v>0.57361111111111118</v>
      </c>
      <c r="F813" s="4">
        <v>0.68888888888888899</v>
      </c>
      <c r="G813" s="5">
        <f t="shared" si="24"/>
        <v>5.95</v>
      </c>
      <c r="H813" s="8">
        <f t="shared" si="25"/>
        <v>1.95</v>
      </c>
    </row>
    <row r="814" spans="1:8" x14ac:dyDescent="0.25">
      <c r="A814">
        <v>44</v>
      </c>
      <c r="B814" s="2">
        <v>44125</v>
      </c>
      <c r="C814" s="4">
        <v>0.34027777777777773</v>
      </c>
      <c r="D814" s="4">
        <v>0.50694444444444442</v>
      </c>
      <c r="E814" s="4">
        <v>0.56944444444444442</v>
      </c>
      <c r="F814" s="4">
        <v>0.69236111111111109</v>
      </c>
      <c r="G814" s="5">
        <f t="shared" si="24"/>
        <v>6.95</v>
      </c>
      <c r="H814" s="8">
        <f t="shared" si="25"/>
        <v>0.98611111111111116</v>
      </c>
    </row>
    <row r="815" spans="1:8" x14ac:dyDescent="0.25">
      <c r="A815">
        <v>64</v>
      </c>
      <c r="B815" s="2">
        <v>44124</v>
      </c>
      <c r="C815" s="4">
        <v>0.31944444444444448</v>
      </c>
      <c r="D815" s="4">
        <v>0.5</v>
      </c>
      <c r="E815" s="4">
        <v>0.5756944444444444</v>
      </c>
      <c r="F815" s="4">
        <v>0.69652777777777775</v>
      </c>
      <c r="G815" s="5">
        <f t="shared" si="24"/>
        <v>7.2333333333333325</v>
      </c>
      <c r="H815" s="8">
        <f t="shared" si="25"/>
        <v>1.0006944444444446</v>
      </c>
    </row>
    <row r="816" spans="1:8" x14ac:dyDescent="0.25">
      <c r="A816">
        <v>94</v>
      </c>
      <c r="B816" s="2">
        <v>44123</v>
      </c>
      <c r="C816" s="4">
        <v>0.37083333333333335</v>
      </c>
      <c r="D816" s="4">
        <v>0.50694444444444442</v>
      </c>
      <c r="E816" s="4">
        <v>0.57638888888888895</v>
      </c>
      <c r="F816" s="4">
        <v>0.70138888888888884</v>
      </c>
      <c r="G816" s="5">
        <f t="shared" si="24"/>
        <v>6.2666666666666631</v>
      </c>
      <c r="H816" s="8">
        <f t="shared" si="25"/>
        <v>1.9486111111111111</v>
      </c>
    </row>
    <row r="817" spans="1:8" x14ac:dyDescent="0.25">
      <c r="A817">
        <v>63</v>
      </c>
      <c r="B817" s="2">
        <v>44123</v>
      </c>
      <c r="C817" s="4">
        <v>0.32777777777777778</v>
      </c>
      <c r="D817" s="4">
        <v>0.50138888888888888</v>
      </c>
      <c r="E817" s="4">
        <v>0.57152777777777775</v>
      </c>
      <c r="F817" s="4">
        <v>0.69930555555555562</v>
      </c>
      <c r="G817" s="5">
        <f t="shared" si="24"/>
        <v>7.2333333333333352</v>
      </c>
      <c r="H817" s="8">
        <f t="shared" si="25"/>
        <v>0.99652777777777779</v>
      </c>
    </row>
    <row r="818" spans="1:8" x14ac:dyDescent="0.25">
      <c r="A818">
        <v>58</v>
      </c>
      <c r="B818" s="2">
        <v>44125</v>
      </c>
      <c r="C818" s="4">
        <v>0.37708333333333338</v>
      </c>
      <c r="D818" s="4">
        <v>0.50972222222222219</v>
      </c>
      <c r="E818" s="4">
        <v>0.56388888888888888</v>
      </c>
      <c r="F818" s="4">
        <v>0.6972222222222223</v>
      </c>
      <c r="G818" s="5">
        <f t="shared" si="24"/>
        <v>6.3833333333333329</v>
      </c>
      <c r="H818" s="8">
        <f t="shared" si="25"/>
        <v>1.9548611111111112</v>
      </c>
    </row>
    <row r="819" spans="1:8" x14ac:dyDescent="0.25">
      <c r="A819">
        <v>68</v>
      </c>
      <c r="B819" s="2">
        <v>44125</v>
      </c>
      <c r="C819" s="4">
        <v>0.37986111111111115</v>
      </c>
      <c r="D819" s="4">
        <v>0.51250000000000007</v>
      </c>
      <c r="E819" s="4">
        <v>0.55555555555555558</v>
      </c>
      <c r="F819" s="4">
        <v>0.68958333333333333</v>
      </c>
      <c r="G819" s="5">
        <f t="shared" si="24"/>
        <v>6.4</v>
      </c>
      <c r="H819" s="8">
        <f t="shared" si="25"/>
        <v>1.9604166666666667</v>
      </c>
    </row>
    <row r="820" spans="1:8" x14ac:dyDescent="0.25">
      <c r="A820">
        <v>21</v>
      </c>
      <c r="B820" s="2">
        <v>44125</v>
      </c>
      <c r="C820" s="4">
        <v>0.3125</v>
      </c>
      <c r="D820" s="4">
        <v>0.52013888888888882</v>
      </c>
      <c r="E820" s="4">
        <v>0.56111111111111112</v>
      </c>
      <c r="F820" s="4">
        <v>0.69444444444444453</v>
      </c>
      <c r="G820" s="5">
        <f t="shared" si="24"/>
        <v>8.1833333333333336</v>
      </c>
      <c r="H820" s="8">
        <f t="shared" si="25"/>
        <v>1.0222222222222221</v>
      </c>
    </row>
    <row r="821" spans="1:8" x14ac:dyDescent="0.25">
      <c r="A821">
        <v>23</v>
      </c>
      <c r="B821" s="2">
        <v>44124</v>
      </c>
      <c r="C821" s="4">
        <v>0.32777777777777778</v>
      </c>
      <c r="D821" s="4">
        <v>0.51458333333333328</v>
      </c>
      <c r="E821" s="4">
        <v>0.5625</v>
      </c>
      <c r="F821" s="4">
        <v>0.6972222222222223</v>
      </c>
      <c r="G821" s="5">
        <f t="shared" si="24"/>
        <v>7.7166666666666677</v>
      </c>
      <c r="H821" s="8">
        <f t="shared" si="25"/>
        <v>1.0055555555555555</v>
      </c>
    </row>
    <row r="822" spans="1:8" x14ac:dyDescent="0.25">
      <c r="A822">
        <v>50</v>
      </c>
      <c r="B822" s="2">
        <v>44126</v>
      </c>
      <c r="C822" s="4">
        <v>0.3520833333333333</v>
      </c>
      <c r="D822" s="4">
        <v>0.52013888888888882</v>
      </c>
      <c r="E822" s="4">
        <v>0.54513888888888895</v>
      </c>
      <c r="F822" s="4">
        <v>0.70000000000000007</v>
      </c>
      <c r="G822" s="5">
        <f t="shared" si="24"/>
        <v>7.7499999999999991</v>
      </c>
      <c r="H822" s="8">
        <f t="shared" si="25"/>
        <v>0.99861111111111112</v>
      </c>
    </row>
    <row r="823" spans="1:8" x14ac:dyDescent="0.25">
      <c r="A823">
        <v>40</v>
      </c>
      <c r="B823" s="2">
        <v>44125</v>
      </c>
      <c r="C823" s="4">
        <v>0.3840277777777778</v>
      </c>
      <c r="D823" s="4">
        <v>0.51874999999999993</v>
      </c>
      <c r="E823" s="4">
        <v>0.55625000000000002</v>
      </c>
      <c r="F823" s="4">
        <v>0.6958333333333333</v>
      </c>
      <c r="G823" s="5">
        <f t="shared" si="24"/>
        <v>6.5833333333333304</v>
      </c>
      <c r="H823" s="8">
        <f t="shared" si="25"/>
        <v>1.9555555555555555</v>
      </c>
    </row>
    <row r="824" spans="1:8" x14ac:dyDescent="0.25">
      <c r="A824">
        <v>67</v>
      </c>
      <c r="B824" s="2">
        <v>44125</v>
      </c>
      <c r="C824" s="4">
        <v>0.35555555555555557</v>
      </c>
      <c r="D824" s="4">
        <v>0.49861111111111112</v>
      </c>
      <c r="E824" s="4">
        <v>0.54027777777777775</v>
      </c>
      <c r="F824" s="4">
        <v>0.69861111111111107</v>
      </c>
      <c r="G824" s="5">
        <f t="shared" si="24"/>
        <v>7.2333333333333325</v>
      </c>
      <c r="H824" s="8">
        <f t="shared" si="25"/>
        <v>1</v>
      </c>
    </row>
    <row r="825" spans="1:8" x14ac:dyDescent="0.25">
      <c r="A825">
        <v>71</v>
      </c>
      <c r="B825" s="2">
        <v>44123</v>
      </c>
      <c r="C825" s="4">
        <v>0.37986111111111115</v>
      </c>
      <c r="D825" s="4">
        <v>0.52013888888888882</v>
      </c>
      <c r="E825" s="4">
        <v>0.54791666666666672</v>
      </c>
      <c r="F825" s="4">
        <v>0.68541666666666667</v>
      </c>
      <c r="G825" s="5">
        <f t="shared" si="24"/>
        <v>6.6666666666666625</v>
      </c>
      <c r="H825" s="8">
        <f t="shared" si="25"/>
        <v>1.9680555555555554</v>
      </c>
    </row>
    <row r="826" spans="1:8" x14ac:dyDescent="0.25">
      <c r="A826">
        <v>12</v>
      </c>
      <c r="B826" s="2">
        <v>44126</v>
      </c>
      <c r="C826" s="4">
        <v>0.34375</v>
      </c>
      <c r="D826" s="4">
        <v>0.4993055555555555</v>
      </c>
      <c r="E826" s="4">
        <v>0.55902777777777779</v>
      </c>
      <c r="F826" s="4">
        <v>0.68958333333333333</v>
      </c>
      <c r="G826" s="5">
        <f t="shared" si="24"/>
        <v>6.8666666666666654</v>
      </c>
      <c r="H826" s="8">
        <f t="shared" si="25"/>
        <v>0.99305555555555558</v>
      </c>
    </row>
    <row r="827" spans="1:8" x14ac:dyDescent="0.25">
      <c r="A827">
        <v>46</v>
      </c>
      <c r="B827" s="2">
        <v>44125</v>
      </c>
      <c r="C827" s="4">
        <v>0.37638888888888888</v>
      </c>
      <c r="D827" s="4">
        <v>0.51666666666666672</v>
      </c>
      <c r="E827" s="4">
        <v>0.56874999999999998</v>
      </c>
      <c r="F827" s="4">
        <v>0.69097222222222221</v>
      </c>
      <c r="G827" s="5">
        <f t="shared" si="24"/>
        <v>6.3000000000000016</v>
      </c>
      <c r="H827" s="8">
        <f t="shared" si="25"/>
        <v>1.9506944444444445</v>
      </c>
    </row>
    <row r="828" spans="1:8" x14ac:dyDescent="0.25">
      <c r="A828">
        <v>84</v>
      </c>
      <c r="B828" s="2">
        <v>44124</v>
      </c>
      <c r="C828" s="4">
        <v>0.36805555555555558</v>
      </c>
      <c r="D828" s="4">
        <v>0.5131944444444444</v>
      </c>
      <c r="E828" s="4">
        <v>0.56805555555555554</v>
      </c>
      <c r="F828" s="4">
        <v>0.69305555555555554</v>
      </c>
      <c r="G828" s="5">
        <f t="shared" si="24"/>
        <v>6.4833333333333316</v>
      </c>
      <c r="H828" s="8">
        <f t="shared" si="25"/>
        <v>1.9597222222222221</v>
      </c>
    </row>
    <row r="829" spans="1:8" x14ac:dyDescent="0.25">
      <c r="A829">
        <v>25</v>
      </c>
      <c r="B829" s="2">
        <v>44123</v>
      </c>
      <c r="C829" s="4">
        <v>0.31736111111111115</v>
      </c>
      <c r="D829" s="4">
        <v>0.49861111111111112</v>
      </c>
      <c r="E829" s="4">
        <v>0.55972222222222223</v>
      </c>
      <c r="F829" s="4">
        <v>0.7006944444444444</v>
      </c>
      <c r="G829" s="5">
        <f t="shared" si="24"/>
        <v>7.7333333333333316</v>
      </c>
      <c r="H829" s="8">
        <f t="shared" si="25"/>
        <v>1.0187499999999998</v>
      </c>
    </row>
    <row r="830" spans="1:8" x14ac:dyDescent="0.25">
      <c r="A830">
        <v>24</v>
      </c>
      <c r="B830" s="2">
        <v>44123</v>
      </c>
      <c r="C830" s="4">
        <v>0.34791666666666665</v>
      </c>
      <c r="D830" s="4">
        <v>0.50694444444444442</v>
      </c>
      <c r="E830" s="4">
        <v>0.55208333333333337</v>
      </c>
      <c r="F830" s="4">
        <v>0.69374999999999998</v>
      </c>
      <c r="G830" s="5">
        <f t="shared" si="24"/>
        <v>7.216666666666665</v>
      </c>
      <c r="H830" s="8">
        <f t="shared" si="25"/>
        <v>0.99583333333333335</v>
      </c>
    </row>
    <row r="831" spans="1:8" x14ac:dyDescent="0.25">
      <c r="A831">
        <v>94</v>
      </c>
      <c r="B831" s="2">
        <v>44123</v>
      </c>
      <c r="C831" s="4">
        <v>0.36319444444444443</v>
      </c>
      <c r="D831" s="4">
        <v>0.50069444444444444</v>
      </c>
      <c r="E831" s="4">
        <v>0.5756944444444444</v>
      </c>
      <c r="F831" s="4">
        <v>0.6972222222222223</v>
      </c>
      <c r="G831" s="5">
        <f t="shared" si="24"/>
        <v>6.2166666666666703</v>
      </c>
      <c r="H831" s="8">
        <f t="shared" si="25"/>
        <v>1.9569444444444444</v>
      </c>
    </row>
    <row r="832" spans="1:8" x14ac:dyDescent="0.25">
      <c r="A832">
        <v>21</v>
      </c>
      <c r="B832" s="2">
        <v>44123</v>
      </c>
      <c r="C832" s="4">
        <v>0.36736111111111108</v>
      </c>
      <c r="D832" s="4">
        <v>0.51527777777777783</v>
      </c>
      <c r="E832" s="4">
        <v>0.55763888888888891</v>
      </c>
      <c r="F832" s="4">
        <v>0.68472222222222223</v>
      </c>
      <c r="G832" s="5">
        <f t="shared" si="24"/>
        <v>6.6000000000000014</v>
      </c>
      <c r="H832" s="8">
        <f t="shared" si="25"/>
        <v>1.9708333333333332</v>
      </c>
    </row>
    <row r="833" spans="1:8" x14ac:dyDescent="0.25">
      <c r="A833">
        <v>61</v>
      </c>
      <c r="B833" s="2">
        <v>44123</v>
      </c>
      <c r="C833" s="4">
        <v>0.38194444444444442</v>
      </c>
      <c r="D833" s="4">
        <v>0.51666666666666672</v>
      </c>
      <c r="E833" s="4">
        <v>0.55069444444444449</v>
      </c>
      <c r="F833" s="4">
        <v>0.68402777777777779</v>
      </c>
      <c r="G833" s="5">
        <f t="shared" si="24"/>
        <v>6.4333333333333345</v>
      </c>
      <c r="H833" s="8">
        <f t="shared" si="25"/>
        <v>1.9631944444444445</v>
      </c>
    </row>
    <row r="834" spans="1:8" x14ac:dyDescent="0.25">
      <c r="A834">
        <v>10</v>
      </c>
      <c r="B834" s="2">
        <v>44125</v>
      </c>
      <c r="C834" s="4">
        <v>0.32777777777777778</v>
      </c>
      <c r="D834" s="4">
        <v>0.50486111111111109</v>
      </c>
      <c r="E834" s="4">
        <v>0.5493055555555556</v>
      </c>
      <c r="F834" s="4">
        <v>0.69791666666666663</v>
      </c>
      <c r="G834" s="5">
        <f t="shared" si="24"/>
        <v>7.8166666666666647</v>
      </c>
      <c r="H834" s="8">
        <f t="shared" si="25"/>
        <v>1.0187499999999998</v>
      </c>
    </row>
    <row r="835" spans="1:8" x14ac:dyDescent="0.25">
      <c r="A835">
        <v>19</v>
      </c>
      <c r="B835" s="2">
        <v>44125</v>
      </c>
      <c r="C835" s="4">
        <v>0.37986111111111115</v>
      </c>
      <c r="D835" s="4">
        <v>0.50277777777777777</v>
      </c>
      <c r="E835" s="4">
        <v>0.55972222222222223</v>
      </c>
      <c r="F835" s="4">
        <v>0.69236111111111109</v>
      </c>
      <c r="G835" s="5">
        <f t="shared" si="24"/>
        <v>6.1333333333333311</v>
      </c>
      <c r="H835" s="8">
        <f t="shared" si="25"/>
        <v>1.9562499999999998</v>
      </c>
    </row>
    <row r="836" spans="1:8" x14ac:dyDescent="0.25">
      <c r="A836">
        <v>40</v>
      </c>
      <c r="B836" s="2">
        <v>44124</v>
      </c>
      <c r="C836" s="4">
        <v>0.32500000000000001</v>
      </c>
      <c r="D836" s="4">
        <v>0.51874999999999993</v>
      </c>
      <c r="E836" s="4">
        <v>0.55208333333333337</v>
      </c>
      <c r="F836" s="4">
        <v>0.69166666666666676</v>
      </c>
      <c r="G836" s="5">
        <f t="shared" si="24"/>
        <v>8</v>
      </c>
      <c r="H836" s="8">
        <f t="shared" si="25"/>
        <v>1.0187499999999998</v>
      </c>
    </row>
    <row r="837" spans="1:8" x14ac:dyDescent="0.25">
      <c r="A837">
        <v>60</v>
      </c>
      <c r="B837" s="2">
        <v>44125</v>
      </c>
      <c r="C837" s="4">
        <v>0.35555555555555557</v>
      </c>
      <c r="D837" s="4">
        <v>0.51944444444444449</v>
      </c>
      <c r="E837" s="4">
        <v>0.55347222222222225</v>
      </c>
      <c r="F837" s="4">
        <v>0.70347222222222217</v>
      </c>
      <c r="G837" s="5">
        <f t="shared" si="24"/>
        <v>7.5333333333333314</v>
      </c>
      <c r="H837" s="8">
        <f t="shared" si="25"/>
        <v>1.9868055555555555</v>
      </c>
    </row>
    <row r="838" spans="1:8" x14ac:dyDescent="0.25">
      <c r="A838">
        <v>92</v>
      </c>
      <c r="B838" s="2">
        <v>44125</v>
      </c>
      <c r="C838" s="4">
        <v>0.36736111111111108</v>
      </c>
      <c r="D838" s="4">
        <v>0.49722222222222223</v>
      </c>
      <c r="E838" s="4">
        <v>0.54236111111111118</v>
      </c>
      <c r="F838" s="4">
        <v>0.69097222222222221</v>
      </c>
      <c r="G838" s="5">
        <f t="shared" si="24"/>
        <v>6.6833333333333318</v>
      </c>
      <c r="H838" s="8">
        <f t="shared" si="25"/>
        <v>1.9861111111111112</v>
      </c>
    </row>
    <row r="839" spans="1:8" x14ac:dyDescent="0.25">
      <c r="A839">
        <v>52</v>
      </c>
      <c r="B839" s="2">
        <v>44124</v>
      </c>
      <c r="C839" s="4">
        <v>0.3833333333333333</v>
      </c>
      <c r="D839" s="4">
        <v>0.5</v>
      </c>
      <c r="E839" s="4">
        <v>0.56041666666666667</v>
      </c>
      <c r="F839" s="4">
        <v>0.69791666666666663</v>
      </c>
      <c r="G839" s="5">
        <f t="shared" si="24"/>
        <v>6.1</v>
      </c>
      <c r="H839" s="8">
        <f t="shared" si="25"/>
        <v>1.9520833333333334</v>
      </c>
    </row>
    <row r="840" spans="1:8" x14ac:dyDescent="0.25">
      <c r="A840">
        <v>42</v>
      </c>
      <c r="B840" s="2">
        <v>44124</v>
      </c>
      <c r="C840" s="4">
        <v>0.38263888888888892</v>
      </c>
      <c r="D840" s="4">
        <v>0.51736111111111105</v>
      </c>
      <c r="E840" s="4">
        <v>0.54097222222222219</v>
      </c>
      <c r="F840" s="4">
        <v>0.68958333333333333</v>
      </c>
      <c r="G840" s="5">
        <f t="shared" ref="G840:G903" si="26">((D840-C840)*24)+((F840-E840)*24)</f>
        <v>6.7999999999999989</v>
      </c>
      <c r="H840" s="8">
        <f t="shared" ref="H840:H903" si="27">MOD((TIME(8,30,0)-C840),1)+MOD((TIME(13,0,0)-E840),1)</f>
        <v>0.97222222222222221</v>
      </c>
    </row>
    <row r="841" spans="1:8" x14ac:dyDescent="0.25">
      <c r="A841">
        <v>10</v>
      </c>
      <c r="B841" s="2">
        <v>44126</v>
      </c>
      <c r="C841" s="4">
        <v>0.3666666666666667</v>
      </c>
      <c r="D841" s="4">
        <v>0.4993055555555555</v>
      </c>
      <c r="E841" s="4">
        <v>0.56388888888888888</v>
      </c>
      <c r="F841" s="4">
        <v>0.69513888888888886</v>
      </c>
      <c r="G841" s="5">
        <f t="shared" si="26"/>
        <v>6.3333333333333304</v>
      </c>
      <c r="H841" s="8">
        <f t="shared" si="27"/>
        <v>1.9652777777777777</v>
      </c>
    </row>
    <row r="842" spans="1:8" x14ac:dyDescent="0.25">
      <c r="A842">
        <v>33</v>
      </c>
      <c r="B842" s="2">
        <v>44125</v>
      </c>
      <c r="C842" s="4">
        <v>0.35833333333333334</v>
      </c>
      <c r="D842" s="4">
        <v>0.51458333333333328</v>
      </c>
      <c r="E842" s="4">
        <v>0.54583333333333328</v>
      </c>
      <c r="F842" s="4">
        <v>0.6972222222222223</v>
      </c>
      <c r="G842" s="5">
        <f t="shared" si="26"/>
        <v>7.3833333333333346</v>
      </c>
      <c r="H842" s="8">
        <f t="shared" si="27"/>
        <v>1.9916666666666667</v>
      </c>
    </row>
    <row r="843" spans="1:8" x14ac:dyDescent="0.25">
      <c r="A843">
        <v>74</v>
      </c>
      <c r="B843" s="2">
        <v>44126</v>
      </c>
      <c r="C843" s="4">
        <v>0.35555555555555557</v>
      </c>
      <c r="D843" s="4">
        <v>0.51041666666666663</v>
      </c>
      <c r="E843" s="4">
        <v>0.57708333333333328</v>
      </c>
      <c r="F843" s="4">
        <v>0.69861111111111107</v>
      </c>
      <c r="G843" s="5">
        <f t="shared" si="26"/>
        <v>6.6333333333333329</v>
      </c>
      <c r="H843" s="8">
        <f t="shared" si="27"/>
        <v>1.9631944444444445</v>
      </c>
    </row>
    <row r="844" spans="1:8" x14ac:dyDescent="0.25">
      <c r="A844">
        <v>36</v>
      </c>
      <c r="B844" s="2">
        <v>44124</v>
      </c>
      <c r="C844" s="4">
        <v>0.36736111111111108</v>
      </c>
      <c r="D844" s="4">
        <v>0.51736111111111105</v>
      </c>
      <c r="E844" s="4">
        <v>0.55555555555555558</v>
      </c>
      <c r="F844" s="4">
        <v>0.69097222222222221</v>
      </c>
      <c r="G844" s="5">
        <f t="shared" si="26"/>
        <v>6.8499999999999979</v>
      </c>
      <c r="H844" s="8">
        <f t="shared" si="27"/>
        <v>1.9729166666666667</v>
      </c>
    </row>
    <row r="845" spans="1:8" x14ac:dyDescent="0.25">
      <c r="A845">
        <v>94</v>
      </c>
      <c r="B845" s="2">
        <v>44126</v>
      </c>
      <c r="C845" s="4">
        <v>0.37291666666666662</v>
      </c>
      <c r="D845" s="4">
        <v>0.50486111111111109</v>
      </c>
      <c r="E845" s="4">
        <v>0.57222222222222219</v>
      </c>
      <c r="F845" s="4">
        <v>0.69652777777777775</v>
      </c>
      <c r="G845" s="5">
        <f t="shared" si="26"/>
        <v>6.15</v>
      </c>
      <c r="H845" s="8">
        <f t="shared" si="27"/>
        <v>1.9506944444444445</v>
      </c>
    </row>
    <row r="846" spans="1:8" x14ac:dyDescent="0.25">
      <c r="A846">
        <v>79</v>
      </c>
      <c r="B846" s="2">
        <v>44126</v>
      </c>
      <c r="C846" s="4">
        <v>0.32013888888888892</v>
      </c>
      <c r="D846" s="4">
        <v>0.5131944444444444</v>
      </c>
      <c r="E846" s="4">
        <v>0.57361111111111118</v>
      </c>
      <c r="F846" s="4">
        <v>0.69861111111111107</v>
      </c>
      <c r="G846" s="5">
        <f t="shared" si="26"/>
        <v>7.6333333333333284</v>
      </c>
      <c r="H846" s="8">
        <f t="shared" si="27"/>
        <v>1.0020833333333332</v>
      </c>
    </row>
    <row r="847" spans="1:8" x14ac:dyDescent="0.25">
      <c r="A847">
        <v>71</v>
      </c>
      <c r="B847" s="2">
        <v>44126</v>
      </c>
      <c r="C847" s="4">
        <v>0.3833333333333333</v>
      </c>
      <c r="D847" s="4">
        <v>0.50138888888888888</v>
      </c>
      <c r="E847" s="4">
        <v>0.55277777777777781</v>
      </c>
      <c r="F847" s="4">
        <v>0.6875</v>
      </c>
      <c r="G847" s="5">
        <f t="shared" si="26"/>
        <v>6.0666666666666664</v>
      </c>
      <c r="H847" s="8">
        <f t="shared" si="27"/>
        <v>1.9597222222222221</v>
      </c>
    </row>
    <row r="848" spans="1:8" x14ac:dyDescent="0.25">
      <c r="A848">
        <v>17</v>
      </c>
      <c r="B848" s="2">
        <v>44125</v>
      </c>
      <c r="C848" s="4">
        <v>0.33124999999999999</v>
      </c>
      <c r="D848" s="4">
        <v>0.50972222222222219</v>
      </c>
      <c r="E848" s="4">
        <v>0.55833333333333335</v>
      </c>
      <c r="F848" s="4">
        <v>0.69236111111111109</v>
      </c>
      <c r="G848" s="5">
        <f t="shared" si="26"/>
        <v>7.4999999999999991</v>
      </c>
      <c r="H848" s="8">
        <f t="shared" si="27"/>
        <v>1.0062500000000001</v>
      </c>
    </row>
    <row r="849" spans="1:8" x14ac:dyDescent="0.25">
      <c r="A849">
        <v>46</v>
      </c>
      <c r="B849" s="2">
        <v>44125</v>
      </c>
      <c r="C849" s="4">
        <v>0.36736111111111108</v>
      </c>
      <c r="D849" s="4">
        <v>0.5</v>
      </c>
      <c r="E849" s="4">
        <v>0.53819444444444442</v>
      </c>
      <c r="F849" s="4">
        <v>0.69930555555555562</v>
      </c>
      <c r="G849" s="5">
        <f t="shared" si="26"/>
        <v>7.0500000000000025</v>
      </c>
      <c r="H849" s="8">
        <f t="shared" si="27"/>
        <v>0.99027777777777781</v>
      </c>
    </row>
    <row r="850" spans="1:8" x14ac:dyDescent="0.25">
      <c r="A850">
        <v>70</v>
      </c>
      <c r="B850" s="2">
        <v>44123</v>
      </c>
      <c r="C850" s="4">
        <v>0.32291666666666669</v>
      </c>
      <c r="D850" s="4">
        <v>0.51736111111111105</v>
      </c>
      <c r="E850" s="4">
        <v>0.56388888888888888</v>
      </c>
      <c r="F850" s="4">
        <v>0.7006944444444444</v>
      </c>
      <c r="G850" s="5">
        <f t="shared" si="26"/>
        <v>7.9499999999999966</v>
      </c>
      <c r="H850" s="8">
        <f t="shared" si="27"/>
        <v>1.0090277777777779</v>
      </c>
    </row>
    <row r="851" spans="1:8" x14ac:dyDescent="0.25">
      <c r="A851">
        <v>11</v>
      </c>
      <c r="B851" s="2">
        <v>44125</v>
      </c>
      <c r="C851" s="4">
        <v>0.32361111111111113</v>
      </c>
      <c r="D851" s="4">
        <v>0.51597222222222217</v>
      </c>
      <c r="E851" s="4">
        <v>0.5756944444444444</v>
      </c>
      <c r="F851" s="4">
        <v>0.68819444444444444</v>
      </c>
      <c r="G851" s="5">
        <f t="shared" si="26"/>
        <v>7.3166666666666664</v>
      </c>
      <c r="H851" s="8">
        <f t="shared" si="27"/>
        <v>0.99652777777777779</v>
      </c>
    </row>
    <row r="852" spans="1:8" x14ac:dyDescent="0.25">
      <c r="A852">
        <v>48</v>
      </c>
      <c r="B852" s="2">
        <v>44126</v>
      </c>
      <c r="C852" s="4">
        <v>0.32708333333333334</v>
      </c>
      <c r="D852" s="4">
        <v>0.51458333333333328</v>
      </c>
      <c r="E852" s="4">
        <v>0.54722222222222217</v>
      </c>
      <c r="F852" s="4">
        <v>0.68611111111111101</v>
      </c>
      <c r="G852" s="5">
        <f t="shared" si="26"/>
        <v>7.8333333333333304</v>
      </c>
      <c r="H852" s="8">
        <f t="shared" si="27"/>
        <v>1.0215277777777778</v>
      </c>
    </row>
    <row r="853" spans="1:8" x14ac:dyDescent="0.25">
      <c r="A853">
        <v>91</v>
      </c>
      <c r="B853" s="2">
        <v>44126</v>
      </c>
      <c r="C853" s="4">
        <v>0.32291666666666669</v>
      </c>
      <c r="D853" s="4">
        <v>0.50277777777777777</v>
      </c>
      <c r="E853" s="4">
        <v>0.5708333333333333</v>
      </c>
      <c r="F853" s="4">
        <v>0.70416666666666661</v>
      </c>
      <c r="G853" s="5">
        <f t="shared" si="26"/>
        <v>7.5166666666666657</v>
      </c>
      <c r="H853" s="8">
        <f t="shared" si="27"/>
        <v>1.0020833333333332</v>
      </c>
    </row>
    <row r="854" spans="1:8" x14ac:dyDescent="0.25">
      <c r="A854">
        <v>57</v>
      </c>
      <c r="B854" s="2">
        <v>44126</v>
      </c>
      <c r="C854" s="4">
        <v>0.32291666666666669</v>
      </c>
      <c r="D854" s="4">
        <v>0.5083333333333333</v>
      </c>
      <c r="E854" s="4">
        <v>0.56527777777777777</v>
      </c>
      <c r="F854" s="4">
        <v>0.70416666666666661</v>
      </c>
      <c r="G854" s="5">
        <f t="shared" si="26"/>
        <v>7.7833333333333314</v>
      </c>
      <c r="H854" s="8">
        <f t="shared" si="27"/>
        <v>1.0076388888888888</v>
      </c>
    </row>
    <row r="855" spans="1:8" x14ac:dyDescent="0.25">
      <c r="A855">
        <v>80</v>
      </c>
      <c r="B855" s="2">
        <v>44125</v>
      </c>
      <c r="C855" s="4">
        <v>0.32361111111111113</v>
      </c>
      <c r="D855" s="4">
        <v>0.51041666666666663</v>
      </c>
      <c r="E855" s="4">
        <v>0.55833333333333335</v>
      </c>
      <c r="F855" s="4">
        <v>0.69861111111111107</v>
      </c>
      <c r="G855" s="5">
        <f t="shared" si="26"/>
        <v>7.8499999999999979</v>
      </c>
      <c r="H855" s="8">
        <f t="shared" si="27"/>
        <v>1.0138888888888888</v>
      </c>
    </row>
    <row r="856" spans="1:8" x14ac:dyDescent="0.25">
      <c r="A856">
        <v>26</v>
      </c>
      <c r="B856" s="2">
        <v>44124</v>
      </c>
      <c r="C856" s="4">
        <v>0.36805555555555558</v>
      </c>
      <c r="D856" s="4">
        <v>0.51874999999999993</v>
      </c>
      <c r="E856" s="4">
        <v>0.5493055555555556</v>
      </c>
      <c r="F856" s="4">
        <v>0.69930555555555562</v>
      </c>
      <c r="G856" s="5">
        <f t="shared" si="26"/>
        <v>7.216666666666665</v>
      </c>
      <c r="H856" s="8">
        <f t="shared" si="27"/>
        <v>1.9784722222222222</v>
      </c>
    </row>
    <row r="857" spans="1:8" x14ac:dyDescent="0.25">
      <c r="A857">
        <v>35</v>
      </c>
      <c r="B857" s="2">
        <v>44123</v>
      </c>
      <c r="C857" s="4">
        <v>0.34236111111111112</v>
      </c>
      <c r="D857" s="4">
        <v>0.50694444444444442</v>
      </c>
      <c r="E857" s="4">
        <v>0.56041666666666667</v>
      </c>
      <c r="F857" s="4">
        <v>0.70347222222222217</v>
      </c>
      <c r="G857" s="5">
        <f t="shared" si="26"/>
        <v>7.3833333333333311</v>
      </c>
      <c r="H857" s="8">
        <f t="shared" si="27"/>
        <v>0.99305555555555558</v>
      </c>
    </row>
    <row r="858" spans="1:8" x14ac:dyDescent="0.25">
      <c r="A858">
        <v>26</v>
      </c>
      <c r="B858" s="2">
        <v>44126</v>
      </c>
      <c r="C858" s="4">
        <v>0.38263888888888892</v>
      </c>
      <c r="D858" s="4">
        <v>0.50416666666666665</v>
      </c>
      <c r="E858" s="4">
        <v>0.56111111111111112</v>
      </c>
      <c r="F858" s="4">
        <v>0.68611111111111101</v>
      </c>
      <c r="G858" s="5">
        <f t="shared" si="26"/>
        <v>5.9166666666666625</v>
      </c>
      <c r="H858" s="8">
        <f t="shared" si="27"/>
        <v>1.9520833333333334</v>
      </c>
    </row>
    <row r="859" spans="1:8" x14ac:dyDescent="0.25">
      <c r="A859">
        <v>68</v>
      </c>
      <c r="B859" s="2">
        <v>44123</v>
      </c>
      <c r="C859" s="4">
        <v>0.3347222222222222</v>
      </c>
      <c r="D859" s="4">
        <v>0.49861111111111112</v>
      </c>
      <c r="E859" s="4">
        <v>0.54027777777777775</v>
      </c>
      <c r="F859" s="4">
        <v>0.70000000000000007</v>
      </c>
      <c r="G859" s="5">
        <f t="shared" si="26"/>
        <v>7.7666666666666693</v>
      </c>
      <c r="H859" s="8">
        <f t="shared" si="27"/>
        <v>2.083333333333337E-2</v>
      </c>
    </row>
    <row r="860" spans="1:8" x14ac:dyDescent="0.25">
      <c r="A860">
        <v>71</v>
      </c>
      <c r="B860" s="2">
        <v>44126</v>
      </c>
      <c r="C860" s="4">
        <v>0.3520833333333333</v>
      </c>
      <c r="D860" s="4">
        <v>0.51597222222222217</v>
      </c>
      <c r="E860" s="4">
        <v>0.54583333333333328</v>
      </c>
      <c r="F860" s="4">
        <v>0.68888888888888899</v>
      </c>
      <c r="G860" s="5">
        <f t="shared" si="26"/>
        <v>7.3666666666666698</v>
      </c>
      <c r="H860" s="8">
        <f t="shared" si="27"/>
        <v>0.99791666666666679</v>
      </c>
    </row>
    <row r="861" spans="1:8" x14ac:dyDescent="0.25">
      <c r="A861">
        <v>36</v>
      </c>
      <c r="B861" s="2">
        <v>44126</v>
      </c>
      <c r="C861" s="4">
        <v>0.37291666666666662</v>
      </c>
      <c r="D861" s="4">
        <v>0.51111111111111118</v>
      </c>
      <c r="E861" s="4">
        <v>0.56388888888888888</v>
      </c>
      <c r="F861" s="4">
        <v>0.70208333333333339</v>
      </c>
      <c r="G861" s="5">
        <f t="shared" si="26"/>
        <v>6.6333333333333382</v>
      </c>
      <c r="H861" s="8">
        <f t="shared" si="27"/>
        <v>1.9590277777777778</v>
      </c>
    </row>
    <row r="862" spans="1:8" x14ac:dyDescent="0.25">
      <c r="A862">
        <v>17</v>
      </c>
      <c r="B862" s="2">
        <v>44125</v>
      </c>
      <c r="C862" s="4">
        <v>0.31388888888888888</v>
      </c>
      <c r="D862" s="4">
        <v>0.50138888888888888</v>
      </c>
      <c r="E862" s="4">
        <v>0.57430555555555551</v>
      </c>
      <c r="F862" s="4">
        <v>0.70000000000000007</v>
      </c>
      <c r="G862" s="5">
        <f t="shared" si="26"/>
        <v>7.5166666666666693</v>
      </c>
      <c r="H862" s="8">
        <f t="shared" si="27"/>
        <v>1.007638888888889</v>
      </c>
    </row>
    <row r="863" spans="1:8" x14ac:dyDescent="0.25">
      <c r="A863">
        <v>30</v>
      </c>
      <c r="B863" s="2">
        <v>44124</v>
      </c>
      <c r="C863" s="4">
        <v>0.37986111111111115</v>
      </c>
      <c r="D863" s="4">
        <v>0.50138888888888888</v>
      </c>
      <c r="E863" s="4">
        <v>0.57708333333333328</v>
      </c>
      <c r="F863" s="4">
        <v>0.68958333333333333</v>
      </c>
      <c r="G863" s="5">
        <f t="shared" si="26"/>
        <v>5.6166666666666671</v>
      </c>
      <c r="H863" s="8">
        <f t="shared" si="27"/>
        <v>1.9388888888888889</v>
      </c>
    </row>
    <row r="864" spans="1:8" x14ac:dyDescent="0.25">
      <c r="A864">
        <v>59</v>
      </c>
      <c r="B864" s="2">
        <v>44126</v>
      </c>
      <c r="C864" s="4">
        <v>0.32291666666666669</v>
      </c>
      <c r="D864" s="4">
        <v>0.51111111111111118</v>
      </c>
      <c r="E864" s="4">
        <v>0.54791666666666672</v>
      </c>
      <c r="F864" s="4">
        <v>0.70277777777777783</v>
      </c>
      <c r="G864" s="5">
        <f t="shared" si="26"/>
        <v>8.2333333333333343</v>
      </c>
      <c r="H864" s="8">
        <f t="shared" si="27"/>
        <v>1.0249999999999999</v>
      </c>
    </row>
    <row r="865" spans="1:8" x14ac:dyDescent="0.25">
      <c r="A865">
        <v>73</v>
      </c>
      <c r="B865" s="2">
        <v>44125</v>
      </c>
      <c r="C865" s="4">
        <v>0.33263888888888887</v>
      </c>
      <c r="D865" s="4">
        <v>0.51874999999999993</v>
      </c>
      <c r="E865" s="4">
        <v>0.54027777777777775</v>
      </c>
      <c r="F865" s="4">
        <v>0.6875</v>
      </c>
      <c r="G865" s="5">
        <f t="shared" si="26"/>
        <v>7.9999999999999991</v>
      </c>
      <c r="H865" s="8">
        <f t="shared" si="27"/>
        <v>2.2916666666666696E-2</v>
      </c>
    </row>
    <row r="866" spans="1:8" x14ac:dyDescent="0.25">
      <c r="A866">
        <v>47</v>
      </c>
      <c r="B866" s="2">
        <v>44126</v>
      </c>
      <c r="C866" s="4">
        <v>0.3298611111111111</v>
      </c>
      <c r="D866" s="4">
        <v>0.49722222222222223</v>
      </c>
      <c r="E866" s="4">
        <v>0.54652777777777783</v>
      </c>
      <c r="F866" s="4">
        <v>0.70347222222222217</v>
      </c>
      <c r="G866" s="5">
        <f t="shared" si="26"/>
        <v>7.7833333333333314</v>
      </c>
      <c r="H866" s="8">
        <f t="shared" si="27"/>
        <v>1.0194444444444444</v>
      </c>
    </row>
    <row r="867" spans="1:8" x14ac:dyDescent="0.25">
      <c r="A867">
        <v>66</v>
      </c>
      <c r="B867" s="2">
        <v>44126</v>
      </c>
      <c r="C867" s="4">
        <v>0.32569444444444445</v>
      </c>
      <c r="D867" s="4">
        <v>0.5180555555555556</v>
      </c>
      <c r="E867" s="4">
        <v>0.54652777777777783</v>
      </c>
      <c r="F867" s="4">
        <v>0.68958333333333333</v>
      </c>
      <c r="G867" s="5">
        <f t="shared" si="26"/>
        <v>8.0499999999999989</v>
      </c>
      <c r="H867" s="8">
        <f t="shared" si="27"/>
        <v>1.023611111111111</v>
      </c>
    </row>
    <row r="868" spans="1:8" x14ac:dyDescent="0.25">
      <c r="A868">
        <v>95</v>
      </c>
      <c r="B868" s="2">
        <v>44123</v>
      </c>
      <c r="C868" s="4">
        <v>0.33194444444444443</v>
      </c>
      <c r="D868" s="4">
        <v>0.50972222222222219</v>
      </c>
      <c r="E868" s="4">
        <v>0.57430555555555551</v>
      </c>
      <c r="F868" s="4">
        <v>0.68888888888888899</v>
      </c>
      <c r="G868" s="5">
        <f t="shared" si="26"/>
        <v>7.0166666666666693</v>
      </c>
      <c r="H868" s="8">
        <f t="shared" si="27"/>
        <v>0.98958333333333337</v>
      </c>
    </row>
    <row r="869" spans="1:8" x14ac:dyDescent="0.25">
      <c r="A869">
        <v>22</v>
      </c>
      <c r="B869" s="2">
        <v>44124</v>
      </c>
      <c r="C869" s="4">
        <v>0.32361111111111113</v>
      </c>
      <c r="D869" s="4">
        <v>0.49652777777777773</v>
      </c>
      <c r="E869" s="4">
        <v>0.57916666666666672</v>
      </c>
      <c r="F869" s="4">
        <v>0.70277777777777783</v>
      </c>
      <c r="G869" s="5">
        <f t="shared" si="26"/>
        <v>7.1166666666666654</v>
      </c>
      <c r="H869" s="8">
        <f t="shared" si="27"/>
        <v>0.99305555555555547</v>
      </c>
    </row>
    <row r="870" spans="1:8" x14ac:dyDescent="0.25">
      <c r="A870">
        <v>94</v>
      </c>
      <c r="B870" s="2">
        <v>44126</v>
      </c>
      <c r="C870" s="4">
        <v>0.3215277777777778</v>
      </c>
      <c r="D870" s="4">
        <v>0.49722222222222223</v>
      </c>
      <c r="E870" s="4">
        <v>0.56319444444444444</v>
      </c>
      <c r="F870" s="4">
        <v>0.69513888888888886</v>
      </c>
      <c r="G870" s="5">
        <f t="shared" si="26"/>
        <v>7.3833333333333329</v>
      </c>
      <c r="H870" s="8">
        <f t="shared" si="27"/>
        <v>1.0111111111111111</v>
      </c>
    </row>
    <row r="871" spans="1:8" x14ac:dyDescent="0.25">
      <c r="A871">
        <v>25</v>
      </c>
      <c r="B871" s="2">
        <v>44123</v>
      </c>
      <c r="C871" s="4">
        <v>0.34583333333333338</v>
      </c>
      <c r="D871" s="4">
        <v>0.5083333333333333</v>
      </c>
      <c r="E871" s="4">
        <v>0.56319444444444444</v>
      </c>
      <c r="F871" s="4">
        <v>0.69791666666666663</v>
      </c>
      <c r="G871" s="5">
        <f t="shared" si="26"/>
        <v>7.1333333333333311</v>
      </c>
      <c r="H871" s="8">
        <f t="shared" si="27"/>
        <v>0.98680555555555549</v>
      </c>
    </row>
    <row r="872" spans="1:8" x14ac:dyDescent="0.25">
      <c r="A872">
        <v>78</v>
      </c>
      <c r="B872" s="2">
        <v>44124</v>
      </c>
      <c r="C872" s="4">
        <v>0.37638888888888888</v>
      </c>
      <c r="D872" s="4">
        <v>0.51666666666666672</v>
      </c>
      <c r="E872" s="4">
        <v>0.55069444444444449</v>
      </c>
      <c r="F872" s="4">
        <v>0.69166666666666676</v>
      </c>
      <c r="G872" s="5">
        <f t="shared" si="26"/>
        <v>6.7500000000000027</v>
      </c>
      <c r="H872" s="8">
        <f t="shared" si="27"/>
        <v>1.96875</v>
      </c>
    </row>
    <row r="873" spans="1:8" x14ac:dyDescent="0.25">
      <c r="A873">
        <v>21</v>
      </c>
      <c r="B873" s="2">
        <v>44125</v>
      </c>
      <c r="C873" s="4">
        <v>0.31527777777777777</v>
      </c>
      <c r="D873" s="4">
        <v>0.50972222222222219</v>
      </c>
      <c r="E873" s="4">
        <v>0.54305555555555551</v>
      </c>
      <c r="F873" s="4">
        <v>0.6972222222222223</v>
      </c>
      <c r="G873" s="5">
        <f t="shared" si="26"/>
        <v>8.3666666666666689</v>
      </c>
      <c r="H873" s="8">
        <f t="shared" si="27"/>
        <v>1.0375000000000001</v>
      </c>
    </row>
    <row r="874" spans="1:8" x14ac:dyDescent="0.25">
      <c r="A874">
        <v>71</v>
      </c>
      <c r="B874" s="2">
        <v>44125</v>
      </c>
      <c r="C874" s="4">
        <v>0.32708333333333334</v>
      </c>
      <c r="D874" s="4">
        <v>0.5</v>
      </c>
      <c r="E874" s="4">
        <v>0.57777777777777783</v>
      </c>
      <c r="F874" s="4">
        <v>0.69374999999999998</v>
      </c>
      <c r="G874" s="5">
        <f t="shared" si="26"/>
        <v>6.9333333333333318</v>
      </c>
      <c r="H874" s="8">
        <f t="shared" si="27"/>
        <v>0.99097222222222214</v>
      </c>
    </row>
    <row r="875" spans="1:8" x14ac:dyDescent="0.25">
      <c r="A875">
        <v>26</v>
      </c>
      <c r="B875" s="2">
        <v>44123</v>
      </c>
      <c r="C875" s="4">
        <v>0.37708333333333338</v>
      </c>
      <c r="D875" s="4">
        <v>0.51874999999999993</v>
      </c>
      <c r="E875" s="4">
        <v>0.57500000000000007</v>
      </c>
      <c r="F875" s="4">
        <v>0.70277777777777783</v>
      </c>
      <c r="G875" s="5">
        <f t="shared" si="26"/>
        <v>6.4666666666666632</v>
      </c>
      <c r="H875" s="8">
        <f t="shared" si="27"/>
        <v>1.9437499999999999</v>
      </c>
    </row>
    <row r="876" spans="1:8" x14ac:dyDescent="0.25">
      <c r="A876">
        <v>75</v>
      </c>
      <c r="B876" s="2">
        <v>44125</v>
      </c>
      <c r="C876" s="4">
        <v>0.36388888888888887</v>
      </c>
      <c r="D876" s="4">
        <v>0.51597222222222217</v>
      </c>
      <c r="E876" s="4">
        <v>0.56597222222222221</v>
      </c>
      <c r="F876" s="4">
        <v>0.7006944444444444</v>
      </c>
      <c r="G876" s="5">
        <f t="shared" si="26"/>
        <v>6.8833333333333311</v>
      </c>
      <c r="H876" s="8">
        <f t="shared" si="27"/>
        <v>1.9659722222222222</v>
      </c>
    </row>
    <row r="877" spans="1:8" x14ac:dyDescent="0.25">
      <c r="A877">
        <v>47</v>
      </c>
      <c r="B877" s="2">
        <v>44124</v>
      </c>
      <c r="C877" s="4">
        <v>0.3263888888888889</v>
      </c>
      <c r="D877" s="4">
        <v>0.49722222222222223</v>
      </c>
      <c r="E877" s="4">
        <v>0.57361111111111118</v>
      </c>
      <c r="F877" s="4">
        <v>0.69791666666666663</v>
      </c>
      <c r="G877" s="5">
        <f t="shared" si="26"/>
        <v>7.0833333333333304</v>
      </c>
      <c r="H877" s="8">
        <f t="shared" si="27"/>
        <v>0.99583333333333324</v>
      </c>
    </row>
    <row r="878" spans="1:8" x14ac:dyDescent="0.25">
      <c r="A878">
        <v>51</v>
      </c>
      <c r="B878" s="2">
        <v>44126</v>
      </c>
      <c r="C878" s="4">
        <v>0.34375</v>
      </c>
      <c r="D878" s="4">
        <v>0.50069444444444444</v>
      </c>
      <c r="E878" s="4">
        <v>0.57152777777777775</v>
      </c>
      <c r="F878" s="4">
        <v>0.69930555555555562</v>
      </c>
      <c r="G878" s="5">
        <f t="shared" si="26"/>
        <v>6.8333333333333357</v>
      </c>
      <c r="H878" s="8">
        <f t="shared" si="27"/>
        <v>0.98055555555555562</v>
      </c>
    </row>
    <row r="879" spans="1:8" x14ac:dyDescent="0.25">
      <c r="A879">
        <v>12</v>
      </c>
      <c r="B879" s="2">
        <v>44126</v>
      </c>
      <c r="C879" s="4">
        <v>0.35625000000000001</v>
      </c>
      <c r="D879" s="4">
        <v>0.49791666666666662</v>
      </c>
      <c r="E879" s="4">
        <v>0.57847222222222217</v>
      </c>
      <c r="F879" s="4">
        <v>0.69652777777777775</v>
      </c>
      <c r="G879" s="5">
        <f t="shared" si="26"/>
        <v>6.2333333333333325</v>
      </c>
      <c r="H879" s="8">
        <f t="shared" si="27"/>
        <v>1.9611111111111112</v>
      </c>
    </row>
    <row r="880" spans="1:8" x14ac:dyDescent="0.25">
      <c r="A880">
        <v>93</v>
      </c>
      <c r="B880" s="2">
        <v>44126</v>
      </c>
      <c r="C880" s="4">
        <v>0.32291666666666669</v>
      </c>
      <c r="D880" s="4">
        <v>0.51736111111111105</v>
      </c>
      <c r="E880" s="4">
        <v>0.57430555555555551</v>
      </c>
      <c r="F880" s="4">
        <v>0.68958333333333333</v>
      </c>
      <c r="G880" s="5">
        <f t="shared" si="26"/>
        <v>7.4333333333333318</v>
      </c>
      <c r="H880" s="8">
        <f t="shared" si="27"/>
        <v>0.99861111111111112</v>
      </c>
    </row>
    <row r="881" spans="1:8" x14ac:dyDescent="0.25">
      <c r="A881">
        <v>84</v>
      </c>
      <c r="B881" s="2">
        <v>44125</v>
      </c>
      <c r="C881" s="4">
        <v>0.34791666666666665</v>
      </c>
      <c r="D881" s="4">
        <v>0.50902777777777775</v>
      </c>
      <c r="E881" s="4">
        <v>0.5541666666666667</v>
      </c>
      <c r="F881" s="4">
        <v>0.69861111111111107</v>
      </c>
      <c r="G881" s="5">
        <f t="shared" si="26"/>
        <v>7.3333333333333313</v>
      </c>
      <c r="H881" s="8">
        <f t="shared" si="27"/>
        <v>0.99374999999999991</v>
      </c>
    </row>
    <row r="882" spans="1:8" x14ac:dyDescent="0.25">
      <c r="A882">
        <v>27</v>
      </c>
      <c r="B882" s="2">
        <v>44125</v>
      </c>
      <c r="C882" s="4">
        <v>0.37847222222222227</v>
      </c>
      <c r="D882" s="4">
        <v>0.51666666666666672</v>
      </c>
      <c r="E882" s="4">
        <v>0.56041666666666667</v>
      </c>
      <c r="F882" s="4">
        <v>0.68888888888888899</v>
      </c>
      <c r="G882" s="5">
        <f t="shared" si="26"/>
        <v>6.4000000000000021</v>
      </c>
      <c r="H882" s="8">
        <f t="shared" si="27"/>
        <v>1.9569444444444444</v>
      </c>
    </row>
    <row r="883" spans="1:8" x14ac:dyDescent="0.25">
      <c r="A883">
        <v>12</v>
      </c>
      <c r="B883" s="2">
        <v>44124</v>
      </c>
      <c r="C883" s="4">
        <v>0.33958333333333335</v>
      </c>
      <c r="D883" s="4">
        <v>0.51527777777777783</v>
      </c>
      <c r="E883" s="4">
        <v>0.54236111111111118</v>
      </c>
      <c r="F883" s="4">
        <v>0.70138888888888884</v>
      </c>
      <c r="G883" s="5">
        <f t="shared" si="26"/>
        <v>8.0333333333333314</v>
      </c>
      <c r="H883" s="8">
        <f t="shared" si="27"/>
        <v>1.0138888888888888</v>
      </c>
    </row>
    <row r="884" spans="1:8" x14ac:dyDescent="0.25">
      <c r="A884">
        <v>71</v>
      </c>
      <c r="B884" s="2">
        <v>44126</v>
      </c>
      <c r="C884" s="4">
        <v>0.37222222222222223</v>
      </c>
      <c r="D884" s="4">
        <v>0.50555555555555554</v>
      </c>
      <c r="E884" s="4">
        <v>0.5444444444444444</v>
      </c>
      <c r="F884" s="4">
        <v>0.68888888888888899</v>
      </c>
      <c r="G884" s="5">
        <f t="shared" si="26"/>
        <v>6.6666666666666696</v>
      </c>
      <c r="H884" s="8">
        <f t="shared" si="27"/>
        <v>1.9791666666666667</v>
      </c>
    </row>
    <row r="885" spans="1:8" x14ac:dyDescent="0.25">
      <c r="A885">
        <v>21</v>
      </c>
      <c r="B885" s="2">
        <v>44126</v>
      </c>
      <c r="C885" s="4">
        <v>0.38750000000000001</v>
      </c>
      <c r="D885" s="4">
        <v>0.50972222222222219</v>
      </c>
      <c r="E885" s="4">
        <v>0.55625000000000002</v>
      </c>
      <c r="F885" s="4">
        <v>0.69861111111111107</v>
      </c>
      <c r="G885" s="5">
        <f t="shared" si="26"/>
        <v>6.3499999999999979</v>
      </c>
      <c r="H885" s="8">
        <f t="shared" si="27"/>
        <v>1.9520833333333334</v>
      </c>
    </row>
    <row r="886" spans="1:8" x14ac:dyDescent="0.25">
      <c r="A886">
        <v>39</v>
      </c>
      <c r="B886" s="2">
        <v>44125</v>
      </c>
      <c r="C886" s="4">
        <v>0.3215277777777778</v>
      </c>
      <c r="D886" s="4">
        <v>0.51944444444444449</v>
      </c>
      <c r="E886" s="4">
        <v>0.55833333333333335</v>
      </c>
      <c r="F886" s="4">
        <v>0.70000000000000007</v>
      </c>
      <c r="G886" s="5">
        <f t="shared" si="26"/>
        <v>8.1500000000000021</v>
      </c>
      <c r="H886" s="8">
        <f t="shared" si="27"/>
        <v>1.0159722222222221</v>
      </c>
    </row>
    <row r="887" spans="1:8" x14ac:dyDescent="0.25">
      <c r="A887">
        <v>90</v>
      </c>
      <c r="B887" s="2">
        <v>44124</v>
      </c>
      <c r="C887" s="4">
        <v>0.31388888888888888</v>
      </c>
      <c r="D887" s="4">
        <v>0.51944444444444449</v>
      </c>
      <c r="E887" s="4">
        <v>0.5395833333333333</v>
      </c>
      <c r="F887" s="4">
        <v>0.68958333333333333</v>
      </c>
      <c r="G887" s="5">
        <f t="shared" si="26"/>
        <v>8.533333333333335</v>
      </c>
      <c r="H887" s="8">
        <f t="shared" si="27"/>
        <v>4.2361111111111127E-2</v>
      </c>
    </row>
    <row r="888" spans="1:8" x14ac:dyDescent="0.25">
      <c r="A888">
        <v>91</v>
      </c>
      <c r="B888" s="2">
        <v>44124</v>
      </c>
      <c r="C888" s="4">
        <v>0.38611111111111113</v>
      </c>
      <c r="D888" s="4">
        <v>0.51180555555555551</v>
      </c>
      <c r="E888" s="4">
        <v>0.55069444444444449</v>
      </c>
      <c r="F888" s="4">
        <v>0.70347222222222217</v>
      </c>
      <c r="G888" s="5">
        <f t="shared" si="26"/>
        <v>6.68333333333333</v>
      </c>
      <c r="H888" s="8">
        <f t="shared" si="27"/>
        <v>1.9590277777777776</v>
      </c>
    </row>
    <row r="889" spans="1:8" x14ac:dyDescent="0.25">
      <c r="A889">
        <v>10</v>
      </c>
      <c r="B889" s="2">
        <v>44125</v>
      </c>
      <c r="C889" s="4">
        <v>0.33819444444444446</v>
      </c>
      <c r="D889" s="4">
        <v>0.51597222222222217</v>
      </c>
      <c r="E889" s="4">
        <v>0.57777777777777783</v>
      </c>
      <c r="F889" s="4">
        <v>0.68541666666666667</v>
      </c>
      <c r="G889" s="5">
        <f t="shared" si="26"/>
        <v>6.849999999999997</v>
      </c>
      <c r="H889" s="8">
        <f t="shared" si="27"/>
        <v>0.97986111111111107</v>
      </c>
    </row>
    <row r="890" spans="1:8" x14ac:dyDescent="0.25">
      <c r="A890">
        <v>100</v>
      </c>
      <c r="B890" s="2">
        <v>44126</v>
      </c>
      <c r="C890" s="4">
        <v>0.37152777777777773</v>
      </c>
      <c r="D890" s="4">
        <v>0.51527777777777783</v>
      </c>
      <c r="E890" s="4">
        <v>0.55902777777777779</v>
      </c>
      <c r="F890" s="4">
        <v>0.69930555555555562</v>
      </c>
      <c r="G890" s="5">
        <f t="shared" si="26"/>
        <v>6.81666666666667</v>
      </c>
      <c r="H890" s="8">
        <f t="shared" si="27"/>
        <v>1.9652777777777777</v>
      </c>
    </row>
    <row r="891" spans="1:8" x14ac:dyDescent="0.25">
      <c r="A891">
        <v>95</v>
      </c>
      <c r="B891" s="2">
        <v>44124</v>
      </c>
      <c r="C891" s="4">
        <v>0.3430555555555555</v>
      </c>
      <c r="D891" s="4">
        <v>0.51250000000000007</v>
      </c>
      <c r="E891" s="4">
        <v>0.54791666666666672</v>
      </c>
      <c r="F891" s="4">
        <v>0.69930555555555562</v>
      </c>
      <c r="G891" s="5">
        <f t="shared" si="26"/>
        <v>7.7000000000000037</v>
      </c>
      <c r="H891" s="8">
        <f t="shared" si="27"/>
        <v>1.004861111111111</v>
      </c>
    </row>
    <row r="892" spans="1:8" x14ac:dyDescent="0.25">
      <c r="A892">
        <v>5</v>
      </c>
      <c r="B892" s="2">
        <v>44123</v>
      </c>
      <c r="C892" s="4">
        <v>0.34791666666666665</v>
      </c>
      <c r="D892" s="4">
        <v>0.50277777777777777</v>
      </c>
      <c r="E892" s="4">
        <v>0.54097222222222219</v>
      </c>
      <c r="F892" s="4">
        <v>0.68472222222222223</v>
      </c>
      <c r="G892" s="5">
        <f t="shared" si="26"/>
        <v>7.1666666666666679</v>
      </c>
      <c r="H892" s="8">
        <f t="shared" si="27"/>
        <v>6.9444444444444753E-3</v>
      </c>
    </row>
    <row r="893" spans="1:8" x14ac:dyDescent="0.25">
      <c r="A893">
        <v>46</v>
      </c>
      <c r="B893" s="2">
        <v>44123</v>
      </c>
      <c r="C893" s="4">
        <v>0.31458333333333333</v>
      </c>
      <c r="D893" s="4">
        <v>0.49722222222222223</v>
      </c>
      <c r="E893" s="4">
        <v>0.57361111111111118</v>
      </c>
      <c r="F893" s="4">
        <v>0.68402777777777779</v>
      </c>
      <c r="G893" s="5">
        <f t="shared" si="26"/>
        <v>7.0333333333333323</v>
      </c>
      <c r="H893" s="8">
        <f t="shared" si="27"/>
        <v>1.0076388888888888</v>
      </c>
    </row>
    <row r="894" spans="1:8" x14ac:dyDescent="0.25">
      <c r="A894">
        <v>36</v>
      </c>
      <c r="B894" s="2">
        <v>44125</v>
      </c>
      <c r="C894" s="4">
        <v>0.35347222222222219</v>
      </c>
      <c r="D894" s="4">
        <v>0.5083333333333333</v>
      </c>
      <c r="E894" s="4">
        <v>0.55694444444444446</v>
      </c>
      <c r="F894" s="4">
        <v>0.69374999999999998</v>
      </c>
      <c r="G894" s="5">
        <f t="shared" si="26"/>
        <v>6.9999999999999991</v>
      </c>
      <c r="H894" s="8">
        <f t="shared" si="27"/>
        <v>0.98541666666666661</v>
      </c>
    </row>
    <row r="895" spans="1:8" x14ac:dyDescent="0.25">
      <c r="A895">
        <v>61</v>
      </c>
      <c r="B895" s="2">
        <v>44124</v>
      </c>
      <c r="C895" s="4">
        <v>0.37638888888888888</v>
      </c>
      <c r="D895" s="4">
        <v>0.50347222222222221</v>
      </c>
      <c r="E895" s="4">
        <v>0.57291666666666663</v>
      </c>
      <c r="F895" s="4">
        <v>0.69305555555555554</v>
      </c>
      <c r="G895" s="5">
        <f t="shared" si="26"/>
        <v>5.9333333333333336</v>
      </c>
      <c r="H895" s="8">
        <f t="shared" si="27"/>
        <v>1.9465277777777779</v>
      </c>
    </row>
    <row r="896" spans="1:8" x14ac:dyDescent="0.25">
      <c r="A896">
        <v>41</v>
      </c>
      <c r="B896" s="2">
        <v>44123</v>
      </c>
      <c r="C896" s="4">
        <v>0.36319444444444443</v>
      </c>
      <c r="D896" s="4">
        <v>0.49652777777777773</v>
      </c>
      <c r="E896" s="4">
        <v>0.56319444444444444</v>
      </c>
      <c r="F896" s="4">
        <v>0.69374999999999998</v>
      </c>
      <c r="G896" s="5">
        <f t="shared" si="26"/>
        <v>6.3333333333333321</v>
      </c>
      <c r="H896" s="8">
        <f t="shared" si="27"/>
        <v>1.9694444444444446</v>
      </c>
    </row>
    <row r="897" spans="1:8" x14ac:dyDescent="0.25">
      <c r="A897">
        <v>95</v>
      </c>
      <c r="B897" s="2">
        <v>44126</v>
      </c>
      <c r="C897" s="4">
        <v>0.35902777777777778</v>
      </c>
      <c r="D897" s="4">
        <v>0.50486111111111109</v>
      </c>
      <c r="E897" s="4">
        <v>0.5395833333333333</v>
      </c>
      <c r="F897" s="4">
        <v>0.69166666666666676</v>
      </c>
      <c r="G897" s="5">
        <f t="shared" si="26"/>
        <v>7.1500000000000021</v>
      </c>
      <c r="H897" s="8">
        <f t="shared" si="27"/>
        <v>0.99722222222222223</v>
      </c>
    </row>
    <row r="898" spans="1:8" x14ac:dyDescent="0.25">
      <c r="A898">
        <v>69</v>
      </c>
      <c r="B898" s="2">
        <v>44123</v>
      </c>
      <c r="C898" s="4">
        <v>0.38819444444444445</v>
      </c>
      <c r="D898" s="4">
        <v>0.50694444444444442</v>
      </c>
      <c r="E898" s="4">
        <v>0.54375000000000007</v>
      </c>
      <c r="F898" s="4">
        <v>0.69236111111111109</v>
      </c>
      <c r="G898" s="5">
        <f t="shared" si="26"/>
        <v>6.4166666666666643</v>
      </c>
      <c r="H898" s="8">
        <f t="shared" si="27"/>
        <v>1.9638888888888888</v>
      </c>
    </row>
    <row r="899" spans="1:8" x14ac:dyDescent="0.25">
      <c r="A899">
        <v>61</v>
      </c>
      <c r="B899" s="2">
        <v>44126</v>
      </c>
      <c r="C899" s="4">
        <v>0.33124999999999999</v>
      </c>
      <c r="D899" s="4">
        <v>0.50069444444444444</v>
      </c>
      <c r="E899" s="4">
        <v>0.56180555555555556</v>
      </c>
      <c r="F899" s="4">
        <v>0.70000000000000007</v>
      </c>
      <c r="G899" s="5">
        <f t="shared" si="26"/>
        <v>7.3833333333333346</v>
      </c>
      <c r="H899" s="8">
        <f t="shared" si="27"/>
        <v>1.0027777777777778</v>
      </c>
    </row>
    <row r="900" spans="1:8" x14ac:dyDescent="0.25">
      <c r="A900">
        <v>58</v>
      </c>
      <c r="B900" s="2">
        <v>44126</v>
      </c>
      <c r="C900" s="4">
        <v>0.3666666666666667</v>
      </c>
      <c r="D900" s="4">
        <v>0.49791666666666662</v>
      </c>
      <c r="E900" s="4">
        <v>0.54861111111111105</v>
      </c>
      <c r="F900" s="4">
        <v>0.68888888888888899</v>
      </c>
      <c r="G900" s="5">
        <f t="shared" si="26"/>
        <v>6.5166666666666693</v>
      </c>
      <c r="H900" s="8">
        <f t="shared" si="27"/>
        <v>1.9805555555555556</v>
      </c>
    </row>
    <row r="901" spans="1:8" x14ac:dyDescent="0.25">
      <c r="A901">
        <v>87</v>
      </c>
      <c r="B901" s="2">
        <v>44125</v>
      </c>
      <c r="C901" s="4">
        <v>0.38263888888888892</v>
      </c>
      <c r="D901" s="4">
        <v>0.50347222222222221</v>
      </c>
      <c r="E901" s="4">
        <v>0.55486111111111114</v>
      </c>
      <c r="F901" s="4">
        <v>0.68541666666666667</v>
      </c>
      <c r="G901" s="5">
        <f t="shared" si="26"/>
        <v>6.0333333333333314</v>
      </c>
      <c r="H901" s="8">
        <f t="shared" si="27"/>
        <v>1.9583333333333333</v>
      </c>
    </row>
    <row r="902" spans="1:8" x14ac:dyDescent="0.25">
      <c r="A902">
        <v>62</v>
      </c>
      <c r="B902" s="2">
        <v>44126</v>
      </c>
      <c r="C902" s="4">
        <v>0.33194444444444443</v>
      </c>
      <c r="D902" s="4">
        <v>0.50972222222222219</v>
      </c>
      <c r="E902" s="4">
        <v>0.55972222222222223</v>
      </c>
      <c r="F902" s="4">
        <v>0.68611111111111101</v>
      </c>
      <c r="G902" s="5">
        <f t="shared" si="26"/>
        <v>7.2999999999999963</v>
      </c>
      <c r="H902" s="8">
        <f t="shared" si="27"/>
        <v>1.0041666666666667</v>
      </c>
    </row>
    <row r="903" spans="1:8" x14ac:dyDescent="0.25">
      <c r="A903">
        <v>36</v>
      </c>
      <c r="B903" s="2">
        <v>44126</v>
      </c>
      <c r="C903" s="4">
        <v>0.33402777777777781</v>
      </c>
      <c r="D903" s="4">
        <v>0.51250000000000007</v>
      </c>
      <c r="E903" s="4">
        <v>0.54027777777777775</v>
      </c>
      <c r="F903" s="4">
        <v>0.69652777777777775</v>
      </c>
      <c r="G903" s="5">
        <f t="shared" si="26"/>
        <v>8.033333333333335</v>
      </c>
      <c r="H903" s="8">
        <f t="shared" si="27"/>
        <v>2.1527777777777757E-2</v>
      </c>
    </row>
    <row r="904" spans="1:8" x14ac:dyDescent="0.25">
      <c r="A904">
        <v>26</v>
      </c>
      <c r="B904" s="2">
        <v>44126</v>
      </c>
      <c r="C904" s="4">
        <v>0.3576388888888889</v>
      </c>
      <c r="D904" s="4">
        <v>0.51527777777777783</v>
      </c>
      <c r="E904" s="4">
        <v>0.5756944444444444</v>
      </c>
      <c r="F904" s="4">
        <v>0.70347222222222217</v>
      </c>
      <c r="G904" s="5">
        <f t="shared" ref="G904:G967" si="28">((D904-C904)*24)+((F904-E904)*24)</f>
        <v>6.8500000000000014</v>
      </c>
      <c r="H904" s="8">
        <f t="shared" ref="H904:H967" si="29">MOD((TIME(8,30,0)-C904),1)+MOD((TIME(13,0,0)-E904),1)</f>
        <v>1.9624999999999999</v>
      </c>
    </row>
    <row r="905" spans="1:8" x14ac:dyDescent="0.25">
      <c r="A905">
        <v>34</v>
      </c>
      <c r="B905" s="2">
        <v>44124</v>
      </c>
      <c r="C905" s="4">
        <v>0.38819444444444445</v>
      </c>
      <c r="D905" s="4">
        <v>0.5180555555555556</v>
      </c>
      <c r="E905" s="4">
        <v>0.5625</v>
      </c>
      <c r="F905" s="4">
        <v>0.69513888888888886</v>
      </c>
      <c r="G905" s="5">
        <f t="shared" si="28"/>
        <v>6.3000000000000007</v>
      </c>
      <c r="H905" s="8">
        <f t="shared" si="29"/>
        <v>1.9451388888888888</v>
      </c>
    </row>
    <row r="906" spans="1:8" x14ac:dyDescent="0.25">
      <c r="A906">
        <v>94</v>
      </c>
      <c r="B906" s="2">
        <v>44126</v>
      </c>
      <c r="C906" s="4">
        <v>0.36527777777777781</v>
      </c>
      <c r="D906" s="4">
        <v>0.50555555555555554</v>
      </c>
      <c r="E906" s="4">
        <v>0.56041666666666667</v>
      </c>
      <c r="F906" s="4">
        <v>0.6972222222222223</v>
      </c>
      <c r="G906" s="5">
        <f t="shared" si="28"/>
        <v>6.65</v>
      </c>
      <c r="H906" s="8">
        <f t="shared" si="29"/>
        <v>1.9701388888888889</v>
      </c>
    </row>
    <row r="907" spans="1:8" x14ac:dyDescent="0.25">
      <c r="A907">
        <v>57</v>
      </c>
      <c r="B907" s="2">
        <v>44126</v>
      </c>
      <c r="C907" s="4">
        <v>0.34583333333333338</v>
      </c>
      <c r="D907" s="4">
        <v>0.50277777777777777</v>
      </c>
      <c r="E907" s="4">
        <v>0.56944444444444442</v>
      </c>
      <c r="F907" s="4">
        <v>0.6875</v>
      </c>
      <c r="G907" s="5">
        <f t="shared" si="28"/>
        <v>6.6</v>
      </c>
      <c r="H907" s="8">
        <f t="shared" si="29"/>
        <v>0.98055555555555551</v>
      </c>
    </row>
    <row r="908" spans="1:8" x14ac:dyDescent="0.25">
      <c r="A908">
        <v>78</v>
      </c>
      <c r="B908" s="2">
        <v>44123</v>
      </c>
      <c r="C908" s="4">
        <v>0.35416666666666669</v>
      </c>
      <c r="D908" s="4">
        <v>0.50277777777777777</v>
      </c>
      <c r="E908" s="4">
        <v>0.56041666666666667</v>
      </c>
      <c r="F908" s="4">
        <v>0.69097222222222221</v>
      </c>
      <c r="G908" s="5">
        <f t="shared" si="28"/>
        <v>6.6999999999999993</v>
      </c>
      <c r="H908" s="8">
        <f t="shared" si="29"/>
        <v>0.98124999999999996</v>
      </c>
    </row>
    <row r="909" spans="1:8" x14ac:dyDescent="0.25">
      <c r="A909">
        <v>64</v>
      </c>
      <c r="B909" s="2">
        <v>44124</v>
      </c>
      <c r="C909" s="4">
        <v>0.37083333333333335</v>
      </c>
      <c r="D909" s="4">
        <v>0.50624999999999998</v>
      </c>
      <c r="E909" s="4">
        <v>0.55277777777777781</v>
      </c>
      <c r="F909" s="4">
        <v>0.68888888888888899</v>
      </c>
      <c r="G909" s="5">
        <f t="shared" si="28"/>
        <v>6.5166666666666675</v>
      </c>
      <c r="H909" s="8">
        <f t="shared" si="29"/>
        <v>1.9722222222222223</v>
      </c>
    </row>
    <row r="910" spans="1:8" x14ac:dyDescent="0.25">
      <c r="A910">
        <v>35</v>
      </c>
      <c r="B910" s="2">
        <v>44124</v>
      </c>
      <c r="C910" s="4">
        <v>0.35833333333333334</v>
      </c>
      <c r="D910" s="4">
        <v>0.51180555555555551</v>
      </c>
      <c r="E910" s="4">
        <v>0.56527777777777777</v>
      </c>
      <c r="F910" s="4">
        <v>0.69513888888888886</v>
      </c>
      <c r="G910" s="5">
        <f t="shared" si="28"/>
        <v>6.7999999999999989</v>
      </c>
      <c r="H910" s="8">
        <f t="shared" si="29"/>
        <v>1.9722222222222223</v>
      </c>
    </row>
    <row r="911" spans="1:8" x14ac:dyDescent="0.25">
      <c r="A911">
        <v>48</v>
      </c>
      <c r="B911" s="2">
        <v>44126</v>
      </c>
      <c r="C911" s="4">
        <v>0.3520833333333333</v>
      </c>
      <c r="D911" s="4">
        <v>0.51111111111111118</v>
      </c>
      <c r="E911" s="4">
        <v>0.57777777777777783</v>
      </c>
      <c r="F911" s="4">
        <v>0.6958333333333333</v>
      </c>
      <c r="G911" s="5">
        <f t="shared" si="28"/>
        <v>6.65</v>
      </c>
      <c r="H911" s="8">
        <f t="shared" si="29"/>
        <v>0.96597222222222223</v>
      </c>
    </row>
    <row r="912" spans="1:8" x14ac:dyDescent="0.25">
      <c r="A912">
        <v>25</v>
      </c>
      <c r="B912" s="2">
        <v>44125</v>
      </c>
      <c r="C912" s="4">
        <v>0.33194444444444443</v>
      </c>
      <c r="D912" s="4">
        <v>0.51527777777777783</v>
      </c>
      <c r="E912" s="4">
        <v>0.55208333333333337</v>
      </c>
      <c r="F912" s="4">
        <v>0.68680555555555556</v>
      </c>
      <c r="G912" s="5">
        <f t="shared" si="28"/>
        <v>7.6333333333333346</v>
      </c>
      <c r="H912" s="8">
        <f t="shared" si="29"/>
        <v>1.0118055555555556</v>
      </c>
    </row>
    <row r="913" spans="1:8" x14ac:dyDescent="0.25">
      <c r="A913">
        <v>73</v>
      </c>
      <c r="B913" s="2">
        <v>44123</v>
      </c>
      <c r="C913" s="4">
        <v>0.34652777777777777</v>
      </c>
      <c r="D913" s="4">
        <v>0.51458333333333328</v>
      </c>
      <c r="E913" s="4">
        <v>0.56319444444444444</v>
      </c>
      <c r="F913" s="4">
        <v>0.69652777777777775</v>
      </c>
      <c r="G913" s="5">
        <f t="shared" si="28"/>
        <v>7.2333333333333316</v>
      </c>
      <c r="H913" s="8">
        <f t="shared" si="29"/>
        <v>0.98611111111111116</v>
      </c>
    </row>
    <row r="914" spans="1:8" x14ac:dyDescent="0.25">
      <c r="A914">
        <v>30</v>
      </c>
      <c r="B914" s="2">
        <v>44123</v>
      </c>
      <c r="C914" s="4">
        <v>0.36527777777777781</v>
      </c>
      <c r="D914" s="4">
        <v>0.50902777777777775</v>
      </c>
      <c r="E914" s="4">
        <v>0.57708333333333328</v>
      </c>
      <c r="F914" s="4">
        <v>0.70347222222222217</v>
      </c>
      <c r="G914" s="5">
        <f t="shared" si="28"/>
        <v>6.4833333333333316</v>
      </c>
      <c r="H914" s="8">
        <f t="shared" si="29"/>
        <v>1.9534722222222223</v>
      </c>
    </row>
    <row r="915" spans="1:8" x14ac:dyDescent="0.25">
      <c r="A915">
        <v>91</v>
      </c>
      <c r="B915" s="2">
        <v>44123</v>
      </c>
      <c r="C915" s="4">
        <v>0.3611111111111111</v>
      </c>
      <c r="D915" s="4">
        <v>0.50902777777777775</v>
      </c>
      <c r="E915" s="4">
        <v>0.57500000000000007</v>
      </c>
      <c r="F915" s="4">
        <v>0.7006944444444444</v>
      </c>
      <c r="G915" s="5">
        <f t="shared" si="28"/>
        <v>6.5666666666666629</v>
      </c>
      <c r="H915" s="8">
        <f t="shared" si="29"/>
        <v>1.9597222222222221</v>
      </c>
    </row>
    <row r="916" spans="1:8" x14ac:dyDescent="0.25">
      <c r="A916">
        <v>21</v>
      </c>
      <c r="B916" s="2">
        <v>44123</v>
      </c>
      <c r="C916" s="4">
        <v>0.35416666666666669</v>
      </c>
      <c r="D916" s="4">
        <v>0.50972222222222219</v>
      </c>
      <c r="E916" s="4">
        <v>0.56597222222222221</v>
      </c>
      <c r="F916" s="4">
        <v>0.69305555555555554</v>
      </c>
      <c r="G916" s="5">
        <f t="shared" si="28"/>
        <v>6.7833333333333314</v>
      </c>
      <c r="H916" s="8">
        <f t="shared" si="29"/>
        <v>0.97569444444444442</v>
      </c>
    </row>
    <row r="917" spans="1:8" x14ac:dyDescent="0.25">
      <c r="A917">
        <v>40</v>
      </c>
      <c r="B917" s="2">
        <v>44125</v>
      </c>
      <c r="C917" s="4">
        <v>0.37777777777777777</v>
      </c>
      <c r="D917" s="4">
        <v>0.50138888888888888</v>
      </c>
      <c r="E917" s="4">
        <v>0.57638888888888895</v>
      </c>
      <c r="F917" s="4">
        <v>0.7006944444444444</v>
      </c>
      <c r="G917" s="5">
        <f t="shared" si="28"/>
        <v>5.9499999999999975</v>
      </c>
      <c r="H917" s="8">
        <f t="shared" si="29"/>
        <v>1.9416666666666667</v>
      </c>
    </row>
    <row r="918" spans="1:8" x14ac:dyDescent="0.25">
      <c r="A918">
        <v>41</v>
      </c>
      <c r="B918" s="2">
        <v>44124</v>
      </c>
      <c r="C918" s="4">
        <v>0.37638888888888888</v>
      </c>
      <c r="D918" s="4">
        <v>0.50555555555555554</v>
      </c>
      <c r="E918" s="4">
        <v>0.55486111111111114</v>
      </c>
      <c r="F918" s="4">
        <v>0.70208333333333339</v>
      </c>
      <c r="G918" s="5">
        <f t="shared" si="28"/>
        <v>6.6333333333333337</v>
      </c>
      <c r="H918" s="8">
        <f t="shared" si="29"/>
        <v>1.9645833333333333</v>
      </c>
    </row>
    <row r="919" spans="1:8" x14ac:dyDescent="0.25">
      <c r="A919">
        <v>98</v>
      </c>
      <c r="B919" s="2">
        <v>44125</v>
      </c>
      <c r="C919" s="4">
        <v>0.32361111111111113</v>
      </c>
      <c r="D919" s="4">
        <v>0.51388888888888895</v>
      </c>
      <c r="E919" s="4">
        <v>0.56458333333333333</v>
      </c>
      <c r="F919" s="4">
        <v>0.6958333333333333</v>
      </c>
      <c r="G919" s="5">
        <f t="shared" si="28"/>
        <v>7.7166666666666677</v>
      </c>
      <c r="H919" s="8">
        <f t="shared" si="29"/>
        <v>1.0076388888888888</v>
      </c>
    </row>
    <row r="920" spans="1:8" x14ac:dyDescent="0.25">
      <c r="A920">
        <v>77</v>
      </c>
      <c r="B920" s="2">
        <v>44124</v>
      </c>
      <c r="C920" s="4">
        <v>0.32847222222222222</v>
      </c>
      <c r="D920" s="4">
        <v>0.49652777777777773</v>
      </c>
      <c r="E920" s="4">
        <v>0.56527777777777777</v>
      </c>
      <c r="F920" s="4">
        <v>0.69444444444444453</v>
      </c>
      <c r="G920" s="5">
        <f t="shared" si="28"/>
        <v>7.1333333333333346</v>
      </c>
      <c r="H920" s="8">
        <f t="shared" si="29"/>
        <v>1.0020833333333332</v>
      </c>
    </row>
    <row r="921" spans="1:8" x14ac:dyDescent="0.25">
      <c r="A921">
        <v>61</v>
      </c>
      <c r="B921" s="2">
        <v>44123</v>
      </c>
      <c r="C921" s="4">
        <v>0.36874999999999997</v>
      </c>
      <c r="D921" s="4">
        <v>0.50277777777777777</v>
      </c>
      <c r="E921" s="4">
        <v>0.53819444444444442</v>
      </c>
      <c r="F921" s="4">
        <v>0.69236111111111109</v>
      </c>
      <c r="G921" s="5">
        <f t="shared" si="28"/>
        <v>6.9166666666666679</v>
      </c>
      <c r="H921" s="8">
        <f t="shared" si="29"/>
        <v>0.98888888888888893</v>
      </c>
    </row>
    <row r="922" spans="1:8" x14ac:dyDescent="0.25">
      <c r="A922">
        <v>8</v>
      </c>
      <c r="B922" s="2">
        <v>44126</v>
      </c>
      <c r="C922" s="4">
        <v>0.32708333333333334</v>
      </c>
      <c r="D922" s="4">
        <v>0.50694444444444442</v>
      </c>
      <c r="E922" s="4">
        <v>0.5756944444444444</v>
      </c>
      <c r="F922" s="4">
        <v>0.69861111111111107</v>
      </c>
      <c r="G922" s="5">
        <f t="shared" si="28"/>
        <v>7.2666666666666666</v>
      </c>
      <c r="H922" s="8">
        <f t="shared" si="29"/>
        <v>0.99305555555555558</v>
      </c>
    </row>
    <row r="923" spans="1:8" x14ac:dyDescent="0.25">
      <c r="A923">
        <v>90</v>
      </c>
      <c r="B923" s="2">
        <v>44124</v>
      </c>
      <c r="C923" s="4">
        <v>0.34652777777777777</v>
      </c>
      <c r="D923" s="4">
        <v>0.51458333333333328</v>
      </c>
      <c r="E923" s="4">
        <v>0.54513888888888895</v>
      </c>
      <c r="F923" s="4">
        <v>0.6972222222222223</v>
      </c>
      <c r="G923" s="5">
        <f t="shared" si="28"/>
        <v>7.6833333333333327</v>
      </c>
      <c r="H923" s="8">
        <f t="shared" si="29"/>
        <v>1.0041666666666667</v>
      </c>
    </row>
    <row r="924" spans="1:8" x14ac:dyDescent="0.25">
      <c r="A924">
        <v>73</v>
      </c>
      <c r="B924" s="2">
        <v>44124</v>
      </c>
      <c r="C924" s="4">
        <v>0.34583333333333338</v>
      </c>
      <c r="D924" s="4">
        <v>0.51666666666666672</v>
      </c>
      <c r="E924" s="4">
        <v>0.55833333333333335</v>
      </c>
      <c r="F924" s="4">
        <v>0.68680555555555556</v>
      </c>
      <c r="G924" s="5">
        <f t="shared" si="28"/>
        <v>7.1833333333333327</v>
      </c>
      <c r="H924" s="8">
        <f t="shared" si="29"/>
        <v>0.99166666666666659</v>
      </c>
    </row>
    <row r="925" spans="1:8" x14ac:dyDescent="0.25">
      <c r="A925">
        <v>66</v>
      </c>
      <c r="B925" s="2">
        <v>44125</v>
      </c>
      <c r="C925" s="4">
        <v>0.38819444444444445</v>
      </c>
      <c r="D925" s="4">
        <v>0.50902777777777775</v>
      </c>
      <c r="E925" s="4">
        <v>0.5708333333333333</v>
      </c>
      <c r="F925" s="4">
        <v>0.70347222222222217</v>
      </c>
      <c r="G925" s="5">
        <f t="shared" si="28"/>
        <v>6.0833333333333321</v>
      </c>
      <c r="H925" s="8">
        <f t="shared" si="29"/>
        <v>1.9368055555555554</v>
      </c>
    </row>
    <row r="926" spans="1:8" x14ac:dyDescent="0.25">
      <c r="A926">
        <v>20</v>
      </c>
      <c r="B926" s="2">
        <v>44126</v>
      </c>
      <c r="C926" s="4">
        <v>0.36388888888888887</v>
      </c>
      <c r="D926" s="4">
        <v>0.50069444444444444</v>
      </c>
      <c r="E926" s="4">
        <v>0.57291666666666663</v>
      </c>
      <c r="F926" s="4">
        <v>0.70208333333333339</v>
      </c>
      <c r="G926" s="5">
        <f t="shared" si="28"/>
        <v>6.3833333333333364</v>
      </c>
      <c r="H926" s="8">
        <f t="shared" si="29"/>
        <v>1.9590277777777778</v>
      </c>
    </row>
    <row r="927" spans="1:8" x14ac:dyDescent="0.25">
      <c r="A927">
        <v>22</v>
      </c>
      <c r="B927" s="2">
        <v>44126</v>
      </c>
      <c r="C927" s="4">
        <v>0.3298611111111111</v>
      </c>
      <c r="D927" s="4">
        <v>0.52013888888888882</v>
      </c>
      <c r="E927" s="4">
        <v>0.54097222222222219</v>
      </c>
      <c r="F927" s="4">
        <v>0.70277777777777783</v>
      </c>
      <c r="G927" s="5">
        <f t="shared" si="28"/>
        <v>8.4499999999999993</v>
      </c>
      <c r="H927" s="8">
        <f t="shared" si="29"/>
        <v>2.5000000000000022E-2</v>
      </c>
    </row>
    <row r="928" spans="1:8" x14ac:dyDescent="0.25">
      <c r="A928">
        <v>30</v>
      </c>
      <c r="B928" s="2">
        <v>44124</v>
      </c>
      <c r="C928" s="4">
        <v>0.3298611111111111</v>
      </c>
      <c r="D928" s="4">
        <v>0.52013888888888882</v>
      </c>
      <c r="E928" s="4">
        <v>0.57361111111111118</v>
      </c>
      <c r="F928" s="4">
        <v>0.69374999999999998</v>
      </c>
      <c r="G928" s="5">
        <f t="shared" si="28"/>
        <v>7.4499999999999957</v>
      </c>
      <c r="H928" s="8">
        <f t="shared" si="29"/>
        <v>0.99236111111111103</v>
      </c>
    </row>
    <row r="929" spans="1:8" x14ac:dyDescent="0.25">
      <c r="A929">
        <v>77</v>
      </c>
      <c r="B929" s="2">
        <v>44123</v>
      </c>
      <c r="C929" s="4">
        <v>0.38541666666666669</v>
      </c>
      <c r="D929" s="4">
        <v>0.51736111111111105</v>
      </c>
      <c r="E929" s="4">
        <v>0.5395833333333333</v>
      </c>
      <c r="F929" s="4">
        <v>0.68888888888888899</v>
      </c>
      <c r="G929" s="5">
        <f t="shared" si="28"/>
        <v>6.7500000000000018</v>
      </c>
      <c r="H929" s="8">
        <f t="shared" si="29"/>
        <v>0.97083333333333333</v>
      </c>
    </row>
    <row r="930" spans="1:8" x14ac:dyDescent="0.25">
      <c r="A930">
        <v>6</v>
      </c>
      <c r="B930" s="2">
        <v>44124</v>
      </c>
      <c r="C930" s="4">
        <v>0.3430555555555555</v>
      </c>
      <c r="D930" s="4">
        <v>0.5083333333333333</v>
      </c>
      <c r="E930" s="4">
        <v>0.54305555555555551</v>
      </c>
      <c r="F930" s="4">
        <v>0.69305555555555554</v>
      </c>
      <c r="G930" s="5">
        <f t="shared" si="28"/>
        <v>7.5666666666666682</v>
      </c>
      <c r="H930" s="8">
        <f t="shared" si="29"/>
        <v>1.0097222222222224</v>
      </c>
    </row>
    <row r="931" spans="1:8" x14ac:dyDescent="0.25">
      <c r="A931">
        <v>100</v>
      </c>
      <c r="B931" s="2">
        <v>44125</v>
      </c>
      <c r="C931" s="4">
        <v>0.32222222222222224</v>
      </c>
      <c r="D931" s="4">
        <v>0.5083333333333333</v>
      </c>
      <c r="E931" s="4">
        <v>0.54791666666666672</v>
      </c>
      <c r="F931" s="4">
        <v>0.70000000000000007</v>
      </c>
      <c r="G931" s="5">
        <f t="shared" si="28"/>
        <v>8.1166666666666654</v>
      </c>
      <c r="H931" s="8">
        <f t="shared" si="29"/>
        <v>1.0256944444444445</v>
      </c>
    </row>
    <row r="932" spans="1:8" x14ac:dyDescent="0.25">
      <c r="A932">
        <v>2</v>
      </c>
      <c r="B932" s="2">
        <v>44124</v>
      </c>
      <c r="C932" s="4">
        <v>0.32708333333333334</v>
      </c>
      <c r="D932" s="4">
        <v>0.50972222222222219</v>
      </c>
      <c r="E932" s="4">
        <v>0.55555555555555558</v>
      </c>
      <c r="F932" s="4">
        <v>0.68611111111111101</v>
      </c>
      <c r="G932" s="5">
        <f t="shared" si="28"/>
        <v>7.5166666666666631</v>
      </c>
      <c r="H932" s="8">
        <f t="shared" si="29"/>
        <v>1.0131944444444443</v>
      </c>
    </row>
    <row r="933" spans="1:8" x14ac:dyDescent="0.25">
      <c r="A933">
        <v>95</v>
      </c>
      <c r="B933" s="2">
        <v>44126</v>
      </c>
      <c r="C933" s="4">
        <v>0.34791666666666665</v>
      </c>
      <c r="D933" s="4">
        <v>0.50902777777777775</v>
      </c>
      <c r="E933" s="4">
        <v>0.56388888888888888</v>
      </c>
      <c r="F933" s="4">
        <v>0.68472222222222223</v>
      </c>
      <c r="G933" s="5">
        <f t="shared" si="28"/>
        <v>6.7666666666666666</v>
      </c>
      <c r="H933" s="8">
        <f t="shared" si="29"/>
        <v>0.98402777777777772</v>
      </c>
    </row>
    <row r="934" spans="1:8" x14ac:dyDescent="0.25">
      <c r="A934">
        <v>81</v>
      </c>
      <c r="B934" s="2">
        <v>44125</v>
      </c>
      <c r="C934" s="4">
        <v>0.32708333333333334</v>
      </c>
      <c r="D934" s="4">
        <v>0.51874999999999993</v>
      </c>
      <c r="E934" s="4">
        <v>0.54166666666666663</v>
      </c>
      <c r="F934" s="4">
        <v>0.6972222222222223</v>
      </c>
      <c r="G934" s="5">
        <f t="shared" si="28"/>
        <v>8.3333333333333339</v>
      </c>
      <c r="H934" s="8">
        <f t="shared" si="29"/>
        <v>2.7083333333333348E-2</v>
      </c>
    </row>
    <row r="935" spans="1:8" x14ac:dyDescent="0.25">
      <c r="A935">
        <v>90</v>
      </c>
      <c r="B935" s="2">
        <v>44125</v>
      </c>
      <c r="C935" s="4">
        <v>0.38611111111111113</v>
      </c>
      <c r="D935" s="4">
        <v>0.51388888888888895</v>
      </c>
      <c r="E935" s="4">
        <v>0.56319444444444444</v>
      </c>
      <c r="F935" s="4">
        <v>0.68611111111111101</v>
      </c>
      <c r="G935" s="5">
        <f t="shared" si="28"/>
        <v>6.0166666666666657</v>
      </c>
      <c r="H935" s="8">
        <f t="shared" si="29"/>
        <v>1.9465277777777779</v>
      </c>
    </row>
    <row r="936" spans="1:8" x14ac:dyDescent="0.25">
      <c r="A936">
        <v>67</v>
      </c>
      <c r="B936" s="2">
        <v>44124</v>
      </c>
      <c r="C936" s="4">
        <v>0.35972222222222222</v>
      </c>
      <c r="D936" s="4">
        <v>0.50902777777777775</v>
      </c>
      <c r="E936" s="4">
        <v>0.53819444444444442</v>
      </c>
      <c r="F936" s="4">
        <v>0.6875</v>
      </c>
      <c r="G936" s="5">
        <f t="shared" si="28"/>
        <v>7.1666666666666661</v>
      </c>
      <c r="H936" s="8">
        <f t="shared" si="29"/>
        <v>0.99791666666666667</v>
      </c>
    </row>
    <row r="937" spans="1:8" x14ac:dyDescent="0.25">
      <c r="A937">
        <v>68</v>
      </c>
      <c r="B937" s="2">
        <v>44124</v>
      </c>
      <c r="C937" s="4">
        <v>0.32569444444444445</v>
      </c>
      <c r="D937" s="4">
        <v>0.49791666666666662</v>
      </c>
      <c r="E937" s="4">
        <v>0.57708333333333328</v>
      </c>
      <c r="F937" s="4">
        <v>0.6875</v>
      </c>
      <c r="G937" s="5">
        <f t="shared" si="28"/>
        <v>6.7833333333333332</v>
      </c>
      <c r="H937" s="8">
        <f t="shared" si="29"/>
        <v>0.99305555555555558</v>
      </c>
    </row>
    <row r="938" spans="1:8" x14ac:dyDescent="0.25">
      <c r="A938">
        <v>7</v>
      </c>
      <c r="B938" s="2">
        <v>44125</v>
      </c>
      <c r="C938" s="4">
        <v>0.34097222222222223</v>
      </c>
      <c r="D938" s="4">
        <v>0.50138888888888888</v>
      </c>
      <c r="E938" s="4">
        <v>0.57847222222222217</v>
      </c>
      <c r="F938" s="4">
        <v>0.70416666666666661</v>
      </c>
      <c r="G938" s="5">
        <f t="shared" si="28"/>
        <v>6.8666666666666663</v>
      </c>
      <c r="H938" s="8">
        <f t="shared" si="29"/>
        <v>0.97638888888888897</v>
      </c>
    </row>
    <row r="939" spans="1:8" x14ac:dyDescent="0.25">
      <c r="A939">
        <v>27</v>
      </c>
      <c r="B939" s="2">
        <v>44126</v>
      </c>
      <c r="C939" s="4">
        <v>0.35972222222222222</v>
      </c>
      <c r="D939" s="4">
        <v>0.51180555555555551</v>
      </c>
      <c r="E939" s="4">
        <v>0.56944444444444442</v>
      </c>
      <c r="F939" s="4">
        <v>0.69652777777777775</v>
      </c>
      <c r="G939" s="5">
        <f t="shared" si="28"/>
        <v>6.6999999999999993</v>
      </c>
      <c r="H939" s="8">
        <f t="shared" si="29"/>
        <v>1.9666666666666668</v>
      </c>
    </row>
    <row r="940" spans="1:8" x14ac:dyDescent="0.25">
      <c r="A940">
        <v>57</v>
      </c>
      <c r="B940" s="2">
        <v>44124</v>
      </c>
      <c r="C940" s="4">
        <v>0.3659722222222222</v>
      </c>
      <c r="D940" s="4">
        <v>0.50902777777777775</v>
      </c>
      <c r="E940" s="4">
        <v>0.57291666666666663</v>
      </c>
      <c r="F940" s="4">
        <v>0.68611111111111101</v>
      </c>
      <c r="G940" s="5">
        <f t="shared" si="28"/>
        <v>6.1499999999999986</v>
      </c>
      <c r="H940" s="8">
        <f t="shared" si="29"/>
        <v>1.9569444444444444</v>
      </c>
    </row>
    <row r="941" spans="1:8" x14ac:dyDescent="0.25">
      <c r="A941">
        <v>9</v>
      </c>
      <c r="B941" s="2">
        <v>44126</v>
      </c>
      <c r="C941" s="4">
        <v>0.38750000000000001</v>
      </c>
      <c r="D941" s="4">
        <v>0.50902777777777775</v>
      </c>
      <c r="E941" s="4">
        <v>0.57222222222222219</v>
      </c>
      <c r="F941" s="4">
        <v>0.68819444444444444</v>
      </c>
      <c r="G941" s="5">
        <f t="shared" si="28"/>
        <v>5.6999999999999993</v>
      </c>
      <c r="H941" s="8">
        <f t="shared" si="29"/>
        <v>1.9361111111111111</v>
      </c>
    </row>
    <row r="942" spans="1:8" x14ac:dyDescent="0.25">
      <c r="A942">
        <v>49</v>
      </c>
      <c r="B942" s="2">
        <v>44125</v>
      </c>
      <c r="C942" s="4">
        <v>0.3756944444444445</v>
      </c>
      <c r="D942" s="4">
        <v>0.49861111111111112</v>
      </c>
      <c r="E942" s="4">
        <v>0.5708333333333333</v>
      </c>
      <c r="F942" s="4">
        <v>0.70208333333333339</v>
      </c>
      <c r="G942" s="5">
        <f t="shared" si="28"/>
        <v>6.1000000000000014</v>
      </c>
      <c r="H942" s="8">
        <f t="shared" si="29"/>
        <v>1.9493055555555556</v>
      </c>
    </row>
    <row r="943" spans="1:8" x14ac:dyDescent="0.25">
      <c r="A943">
        <v>89</v>
      </c>
      <c r="B943" s="2">
        <v>44124</v>
      </c>
      <c r="C943" s="4">
        <v>0.36527777777777781</v>
      </c>
      <c r="D943" s="4">
        <v>0.51527777777777783</v>
      </c>
      <c r="E943" s="4">
        <v>0.56180555555555556</v>
      </c>
      <c r="F943" s="4">
        <v>0.69166666666666676</v>
      </c>
      <c r="G943" s="5">
        <f t="shared" si="28"/>
        <v>6.7166666666666694</v>
      </c>
      <c r="H943" s="8">
        <f t="shared" si="29"/>
        <v>1.96875</v>
      </c>
    </row>
    <row r="944" spans="1:8" x14ac:dyDescent="0.25">
      <c r="A944">
        <v>35</v>
      </c>
      <c r="B944" s="2">
        <v>44126</v>
      </c>
      <c r="C944" s="4">
        <v>0.3298611111111111</v>
      </c>
      <c r="D944" s="4">
        <v>0.51597222222222217</v>
      </c>
      <c r="E944" s="4">
        <v>0.56666666666666665</v>
      </c>
      <c r="F944" s="4">
        <v>0.69513888888888886</v>
      </c>
      <c r="G944" s="5">
        <f t="shared" si="28"/>
        <v>7.549999999999998</v>
      </c>
      <c r="H944" s="8">
        <f t="shared" si="29"/>
        <v>0.99930555555555556</v>
      </c>
    </row>
    <row r="945" spans="1:8" x14ac:dyDescent="0.25">
      <c r="A945">
        <v>15</v>
      </c>
      <c r="B945" s="2">
        <v>44123</v>
      </c>
      <c r="C945" s="4">
        <v>0.31527777777777777</v>
      </c>
      <c r="D945" s="4">
        <v>0.50208333333333333</v>
      </c>
      <c r="E945" s="4">
        <v>0.57152777777777775</v>
      </c>
      <c r="F945" s="4">
        <v>0.69166666666666676</v>
      </c>
      <c r="G945" s="5">
        <f t="shared" si="28"/>
        <v>7.3666666666666698</v>
      </c>
      <c r="H945" s="8">
        <f t="shared" si="29"/>
        <v>1.0090277777777779</v>
      </c>
    </row>
    <row r="946" spans="1:8" x14ac:dyDescent="0.25">
      <c r="A946">
        <v>88</v>
      </c>
      <c r="B946" s="2">
        <v>44124</v>
      </c>
      <c r="C946" s="4">
        <v>0.3611111111111111</v>
      </c>
      <c r="D946" s="4">
        <v>0.50763888888888886</v>
      </c>
      <c r="E946" s="4">
        <v>0.56527777777777777</v>
      </c>
      <c r="F946" s="4">
        <v>0.69374999999999998</v>
      </c>
      <c r="G946" s="5">
        <f t="shared" si="28"/>
        <v>6.6</v>
      </c>
      <c r="H946" s="8">
        <f t="shared" si="29"/>
        <v>1.9694444444444446</v>
      </c>
    </row>
    <row r="947" spans="1:8" x14ac:dyDescent="0.25">
      <c r="A947">
        <v>91</v>
      </c>
      <c r="B947" s="2">
        <v>44123</v>
      </c>
      <c r="C947" s="4">
        <v>0.33124999999999999</v>
      </c>
      <c r="D947" s="4">
        <v>0.50694444444444442</v>
      </c>
      <c r="E947" s="4">
        <v>0.53888888888888886</v>
      </c>
      <c r="F947" s="4">
        <v>0.68958333333333333</v>
      </c>
      <c r="G947" s="5">
        <f t="shared" si="28"/>
        <v>7.8333333333333339</v>
      </c>
      <c r="H947" s="8">
        <f t="shared" si="29"/>
        <v>2.5694444444444464E-2</v>
      </c>
    </row>
    <row r="948" spans="1:8" x14ac:dyDescent="0.25">
      <c r="A948">
        <v>14</v>
      </c>
      <c r="B948" s="2">
        <v>44124</v>
      </c>
      <c r="C948" s="4">
        <v>0.33124999999999999</v>
      </c>
      <c r="D948" s="4">
        <v>0.51944444444444449</v>
      </c>
      <c r="E948" s="4">
        <v>0.57777777777777783</v>
      </c>
      <c r="F948" s="4">
        <v>0.70347222222222217</v>
      </c>
      <c r="G948" s="5">
        <f t="shared" si="28"/>
        <v>7.5333333333333314</v>
      </c>
      <c r="H948" s="8">
        <f t="shared" si="29"/>
        <v>0.98680555555555549</v>
      </c>
    </row>
    <row r="949" spans="1:8" x14ac:dyDescent="0.25">
      <c r="A949">
        <v>72</v>
      </c>
      <c r="B949" s="2">
        <v>44123</v>
      </c>
      <c r="C949" s="4">
        <v>0.3354166666666667</v>
      </c>
      <c r="D949" s="4">
        <v>0.51458333333333328</v>
      </c>
      <c r="E949" s="4">
        <v>0.55069444444444449</v>
      </c>
      <c r="F949" s="4">
        <v>0.69236111111111109</v>
      </c>
      <c r="G949" s="5">
        <f t="shared" si="28"/>
        <v>7.6999999999999966</v>
      </c>
      <c r="H949" s="8">
        <f t="shared" si="29"/>
        <v>1.0097222222222222</v>
      </c>
    </row>
    <row r="950" spans="1:8" x14ac:dyDescent="0.25">
      <c r="A950">
        <v>78</v>
      </c>
      <c r="B950" s="2">
        <v>44125</v>
      </c>
      <c r="C950" s="4">
        <v>0.33055555555555555</v>
      </c>
      <c r="D950" s="4">
        <v>0.4993055555555555</v>
      </c>
      <c r="E950" s="4">
        <v>0.55972222222222223</v>
      </c>
      <c r="F950" s="4">
        <v>0.7006944444444444</v>
      </c>
      <c r="G950" s="5">
        <f t="shared" si="28"/>
        <v>7.4333333333333309</v>
      </c>
      <c r="H950" s="8">
        <f t="shared" si="29"/>
        <v>1.0055555555555555</v>
      </c>
    </row>
    <row r="951" spans="1:8" x14ac:dyDescent="0.25">
      <c r="A951">
        <v>56</v>
      </c>
      <c r="B951" s="2">
        <v>44123</v>
      </c>
      <c r="C951" s="4">
        <v>0.32013888888888892</v>
      </c>
      <c r="D951" s="4">
        <v>0.50763888888888886</v>
      </c>
      <c r="E951" s="4">
        <v>0.54999999999999993</v>
      </c>
      <c r="F951" s="4">
        <v>0.69305555555555554</v>
      </c>
      <c r="G951" s="5">
        <f t="shared" si="28"/>
        <v>7.9333333333333327</v>
      </c>
      <c r="H951" s="8">
        <f t="shared" si="29"/>
        <v>1.0256944444444445</v>
      </c>
    </row>
    <row r="952" spans="1:8" x14ac:dyDescent="0.25">
      <c r="A952">
        <v>92</v>
      </c>
      <c r="B952" s="2">
        <v>44126</v>
      </c>
      <c r="C952" s="4">
        <v>0.3659722222222222</v>
      </c>
      <c r="D952" s="4">
        <v>0.5083333333333333</v>
      </c>
      <c r="E952" s="4">
        <v>0.54652777777777783</v>
      </c>
      <c r="F952" s="4">
        <v>0.68472222222222223</v>
      </c>
      <c r="G952" s="5">
        <f t="shared" si="28"/>
        <v>6.7333333333333325</v>
      </c>
      <c r="H952" s="8">
        <f t="shared" si="29"/>
        <v>1.9833333333333334</v>
      </c>
    </row>
    <row r="953" spans="1:8" x14ac:dyDescent="0.25">
      <c r="A953">
        <v>53</v>
      </c>
      <c r="B953" s="2">
        <v>44126</v>
      </c>
      <c r="C953" s="4">
        <v>0.32847222222222222</v>
      </c>
      <c r="D953" s="4">
        <v>0.49791666666666662</v>
      </c>
      <c r="E953" s="4">
        <v>0.5625</v>
      </c>
      <c r="F953" s="4">
        <v>0.6972222222222223</v>
      </c>
      <c r="G953" s="5">
        <f t="shared" si="28"/>
        <v>7.3000000000000007</v>
      </c>
      <c r="H953" s="8">
        <f t="shared" si="29"/>
        <v>1.004861111111111</v>
      </c>
    </row>
    <row r="954" spans="1:8" x14ac:dyDescent="0.25">
      <c r="A954">
        <v>35</v>
      </c>
      <c r="B954" s="2">
        <v>44125</v>
      </c>
      <c r="C954" s="4">
        <v>0.37777777777777777</v>
      </c>
      <c r="D954" s="4">
        <v>0.50138888888888888</v>
      </c>
      <c r="E954" s="4">
        <v>0.55069444444444449</v>
      </c>
      <c r="F954" s="4">
        <v>0.68958333333333333</v>
      </c>
      <c r="G954" s="5">
        <f t="shared" si="28"/>
        <v>6.2999999999999989</v>
      </c>
      <c r="H954" s="8">
        <f t="shared" si="29"/>
        <v>1.9673611111111111</v>
      </c>
    </row>
    <row r="955" spans="1:8" x14ac:dyDescent="0.25">
      <c r="A955">
        <v>68</v>
      </c>
      <c r="B955" s="2">
        <v>44123</v>
      </c>
      <c r="C955" s="4">
        <v>0.32361111111111113</v>
      </c>
      <c r="D955" s="4">
        <v>0.50347222222222221</v>
      </c>
      <c r="E955" s="4">
        <v>0.55694444444444446</v>
      </c>
      <c r="F955" s="4">
        <v>0.6972222222222223</v>
      </c>
      <c r="G955" s="5">
        <f t="shared" si="28"/>
        <v>7.6833333333333345</v>
      </c>
      <c r="H955" s="8">
        <f t="shared" si="29"/>
        <v>1.0152777777777777</v>
      </c>
    </row>
    <row r="956" spans="1:8" x14ac:dyDescent="0.25">
      <c r="A956">
        <v>19</v>
      </c>
      <c r="B956" s="2">
        <v>44123</v>
      </c>
      <c r="C956" s="4">
        <v>0.34375</v>
      </c>
      <c r="D956" s="4">
        <v>0.50277777777777777</v>
      </c>
      <c r="E956" s="4">
        <v>0.57847222222222217</v>
      </c>
      <c r="F956" s="4">
        <v>0.70138888888888884</v>
      </c>
      <c r="G956" s="5">
        <f t="shared" si="28"/>
        <v>6.7666666666666666</v>
      </c>
      <c r="H956" s="8">
        <f t="shared" si="29"/>
        <v>0.9736111111111112</v>
      </c>
    </row>
    <row r="957" spans="1:8" x14ac:dyDescent="0.25">
      <c r="A957">
        <v>77</v>
      </c>
      <c r="B957" s="2">
        <v>44123</v>
      </c>
      <c r="C957" s="4">
        <v>0.32708333333333334</v>
      </c>
      <c r="D957" s="4">
        <v>0.49791666666666662</v>
      </c>
      <c r="E957" s="4">
        <v>0.57638888888888895</v>
      </c>
      <c r="F957" s="4">
        <v>0.69861111111111107</v>
      </c>
      <c r="G957" s="5">
        <f t="shared" si="28"/>
        <v>7.0333333333333297</v>
      </c>
      <c r="H957" s="8">
        <f t="shared" si="29"/>
        <v>0.99236111111111103</v>
      </c>
    </row>
    <row r="958" spans="1:8" x14ac:dyDescent="0.25">
      <c r="A958">
        <v>85</v>
      </c>
      <c r="B958" s="2">
        <v>44125</v>
      </c>
      <c r="C958" s="4">
        <v>0.31666666666666665</v>
      </c>
      <c r="D958" s="4">
        <v>0.49722222222222223</v>
      </c>
      <c r="E958" s="4">
        <v>0.55902777777777779</v>
      </c>
      <c r="F958" s="4">
        <v>0.69236111111111109</v>
      </c>
      <c r="G958" s="5">
        <f t="shared" si="28"/>
        <v>7.5333333333333332</v>
      </c>
      <c r="H958" s="8">
        <f t="shared" si="29"/>
        <v>1.0201388888888889</v>
      </c>
    </row>
    <row r="959" spans="1:8" x14ac:dyDescent="0.25">
      <c r="A959">
        <v>87</v>
      </c>
      <c r="B959" s="2">
        <v>44123</v>
      </c>
      <c r="C959" s="4">
        <v>0.34791666666666665</v>
      </c>
      <c r="D959" s="4">
        <v>0.51944444444444449</v>
      </c>
      <c r="E959" s="4">
        <v>0.55277777777777781</v>
      </c>
      <c r="F959" s="4">
        <v>0.68541666666666667</v>
      </c>
      <c r="G959" s="5">
        <f t="shared" si="28"/>
        <v>7.3000000000000007</v>
      </c>
      <c r="H959" s="8">
        <f t="shared" si="29"/>
        <v>0.9951388888888888</v>
      </c>
    </row>
    <row r="960" spans="1:8" x14ac:dyDescent="0.25">
      <c r="A960">
        <v>74</v>
      </c>
      <c r="B960" s="2">
        <v>44126</v>
      </c>
      <c r="C960" s="4">
        <v>0.34097222222222223</v>
      </c>
      <c r="D960" s="4">
        <v>0.51111111111111118</v>
      </c>
      <c r="E960" s="4">
        <v>0.56666666666666665</v>
      </c>
      <c r="F960" s="4">
        <v>0.68888888888888899</v>
      </c>
      <c r="G960" s="5">
        <f t="shared" si="28"/>
        <v>7.016666666666671</v>
      </c>
      <c r="H960" s="8">
        <f t="shared" si="29"/>
        <v>0.98819444444444438</v>
      </c>
    </row>
    <row r="961" spans="1:8" x14ac:dyDescent="0.25">
      <c r="A961">
        <v>96</v>
      </c>
      <c r="B961" s="2">
        <v>44123</v>
      </c>
      <c r="C961" s="4">
        <v>0.3354166666666667</v>
      </c>
      <c r="D961" s="4">
        <v>0.51597222222222217</v>
      </c>
      <c r="E961" s="4">
        <v>0.54513888888888895</v>
      </c>
      <c r="F961" s="4">
        <v>0.70138888888888884</v>
      </c>
      <c r="G961" s="5">
        <f t="shared" si="28"/>
        <v>8.0833333333333286</v>
      </c>
      <c r="H961" s="8">
        <f t="shared" si="29"/>
        <v>1.0152777777777777</v>
      </c>
    </row>
    <row r="962" spans="1:8" x14ac:dyDescent="0.25">
      <c r="A962">
        <v>32</v>
      </c>
      <c r="B962" s="2">
        <v>44126</v>
      </c>
      <c r="C962" s="4">
        <v>0.34027777777777773</v>
      </c>
      <c r="D962" s="4">
        <v>0.49722222222222223</v>
      </c>
      <c r="E962" s="4">
        <v>0.55972222222222223</v>
      </c>
      <c r="F962" s="4">
        <v>0.69236111111111109</v>
      </c>
      <c r="G962" s="5">
        <f t="shared" si="28"/>
        <v>6.9500000000000011</v>
      </c>
      <c r="H962" s="8">
        <f t="shared" si="29"/>
        <v>0.99583333333333335</v>
      </c>
    </row>
    <row r="963" spans="1:8" x14ac:dyDescent="0.25">
      <c r="A963">
        <v>53</v>
      </c>
      <c r="B963" s="2">
        <v>44126</v>
      </c>
      <c r="C963" s="4">
        <v>0.38472222222222219</v>
      </c>
      <c r="D963" s="4">
        <v>0.50555555555555554</v>
      </c>
      <c r="E963" s="4">
        <v>0.57152777777777775</v>
      </c>
      <c r="F963" s="4">
        <v>0.69236111111111109</v>
      </c>
      <c r="G963" s="5">
        <f t="shared" si="28"/>
        <v>5.8000000000000007</v>
      </c>
      <c r="H963" s="8">
        <f t="shared" si="29"/>
        <v>1.9395833333333334</v>
      </c>
    </row>
    <row r="964" spans="1:8" x14ac:dyDescent="0.25">
      <c r="A964">
        <v>77</v>
      </c>
      <c r="B964" s="2">
        <v>44126</v>
      </c>
      <c r="C964" s="4">
        <v>0.37361111111111112</v>
      </c>
      <c r="D964" s="4">
        <v>0.51666666666666672</v>
      </c>
      <c r="E964" s="4">
        <v>0.55694444444444446</v>
      </c>
      <c r="F964" s="4">
        <v>0.6875</v>
      </c>
      <c r="G964" s="5">
        <f t="shared" si="28"/>
        <v>6.5666666666666673</v>
      </c>
      <c r="H964" s="8">
        <f t="shared" si="29"/>
        <v>1.9652777777777777</v>
      </c>
    </row>
    <row r="965" spans="1:8" x14ac:dyDescent="0.25">
      <c r="A965">
        <v>23</v>
      </c>
      <c r="B965" s="2">
        <v>44125</v>
      </c>
      <c r="C965" s="4">
        <v>0.3840277777777778</v>
      </c>
      <c r="D965" s="4">
        <v>0.49722222222222223</v>
      </c>
      <c r="E965" s="4">
        <v>0.54513888888888895</v>
      </c>
      <c r="F965" s="4">
        <v>0.68680555555555556</v>
      </c>
      <c r="G965" s="5">
        <f t="shared" si="28"/>
        <v>6.1166666666666654</v>
      </c>
      <c r="H965" s="8">
        <f t="shared" si="29"/>
        <v>1.9666666666666666</v>
      </c>
    </row>
    <row r="966" spans="1:8" x14ac:dyDescent="0.25">
      <c r="A966">
        <v>4</v>
      </c>
      <c r="B966" s="2">
        <v>44123</v>
      </c>
      <c r="C966" s="4">
        <v>0.36944444444444446</v>
      </c>
      <c r="D966" s="4">
        <v>0.5083333333333333</v>
      </c>
      <c r="E966" s="4">
        <v>0.57708333333333328</v>
      </c>
      <c r="F966" s="4">
        <v>0.69166666666666676</v>
      </c>
      <c r="G966" s="5">
        <f t="shared" si="28"/>
        <v>6.0833333333333357</v>
      </c>
      <c r="H966" s="8">
        <f t="shared" si="29"/>
        <v>1.9493055555555556</v>
      </c>
    </row>
    <row r="967" spans="1:8" x14ac:dyDescent="0.25">
      <c r="A967">
        <v>65</v>
      </c>
      <c r="B967" s="2">
        <v>44123</v>
      </c>
      <c r="C967" s="4">
        <v>0.375</v>
      </c>
      <c r="D967" s="4">
        <v>0.52013888888888882</v>
      </c>
      <c r="E967" s="4">
        <v>0.56041666666666667</v>
      </c>
      <c r="F967" s="4">
        <v>0.70347222222222217</v>
      </c>
      <c r="G967" s="5">
        <f t="shared" si="28"/>
        <v>6.9166666666666634</v>
      </c>
      <c r="H967" s="8">
        <f t="shared" si="29"/>
        <v>1.9604166666666667</v>
      </c>
    </row>
    <row r="968" spans="1:8" x14ac:dyDescent="0.25">
      <c r="A968">
        <v>40</v>
      </c>
      <c r="B968" s="2">
        <v>44126</v>
      </c>
      <c r="C968" s="4">
        <v>0.33958333333333335</v>
      </c>
      <c r="D968" s="4">
        <v>0.5180555555555556</v>
      </c>
      <c r="E968" s="4">
        <v>0.54236111111111118</v>
      </c>
      <c r="F968" s="4">
        <v>0.69930555555555562</v>
      </c>
      <c r="G968" s="5">
        <f t="shared" ref="G968:G1006" si="30">((D968-C968)*24)+((F968-E968)*24)</f>
        <v>8.0500000000000007</v>
      </c>
      <c r="H968" s="8">
        <f t="shared" ref="H968:H1006" si="31">MOD((TIME(8,30,0)-C968),1)+MOD((TIME(13,0,0)-E968),1)</f>
        <v>1.0138888888888888</v>
      </c>
    </row>
    <row r="969" spans="1:8" x14ac:dyDescent="0.25">
      <c r="A969">
        <v>54</v>
      </c>
      <c r="B969" s="2">
        <v>44123</v>
      </c>
      <c r="C969" s="4">
        <v>0.33055555555555555</v>
      </c>
      <c r="D969" s="4">
        <v>0.51180555555555551</v>
      </c>
      <c r="E969" s="4">
        <v>0.55347222222222225</v>
      </c>
      <c r="F969" s="4">
        <v>0.68958333333333333</v>
      </c>
      <c r="G969" s="5">
        <f t="shared" si="30"/>
        <v>7.6166666666666654</v>
      </c>
      <c r="H969" s="8">
        <f t="shared" si="31"/>
        <v>1.0118055555555556</v>
      </c>
    </row>
    <row r="970" spans="1:8" x14ac:dyDescent="0.25">
      <c r="A970">
        <v>59</v>
      </c>
      <c r="B970" s="2">
        <v>44126</v>
      </c>
      <c r="C970" s="4">
        <v>0.3520833333333333</v>
      </c>
      <c r="D970" s="4">
        <v>0.49722222222222223</v>
      </c>
      <c r="E970" s="4">
        <v>0.55972222222222223</v>
      </c>
      <c r="F970" s="4">
        <v>0.70208333333333339</v>
      </c>
      <c r="G970" s="5">
        <f t="shared" si="30"/>
        <v>6.9000000000000021</v>
      </c>
      <c r="H970" s="8">
        <f t="shared" si="31"/>
        <v>0.98402777777777772</v>
      </c>
    </row>
    <row r="971" spans="1:8" x14ac:dyDescent="0.25">
      <c r="A971">
        <v>6</v>
      </c>
      <c r="B971" s="2">
        <v>44124</v>
      </c>
      <c r="C971" s="4">
        <v>0.32708333333333334</v>
      </c>
      <c r="D971" s="4">
        <v>0.51597222222222217</v>
      </c>
      <c r="E971" s="4">
        <v>0.54236111111111118</v>
      </c>
      <c r="F971" s="4">
        <v>0.70347222222222217</v>
      </c>
      <c r="G971" s="5">
        <f t="shared" si="30"/>
        <v>8.399999999999995</v>
      </c>
      <c r="H971" s="8">
        <f t="shared" si="31"/>
        <v>1.0263888888888888</v>
      </c>
    </row>
    <row r="972" spans="1:8" x14ac:dyDescent="0.25">
      <c r="A972">
        <v>97</v>
      </c>
      <c r="B972" s="2">
        <v>44124</v>
      </c>
      <c r="C972" s="4">
        <v>0.3347222222222222</v>
      </c>
      <c r="D972" s="4">
        <v>0.50624999999999998</v>
      </c>
      <c r="E972" s="4">
        <v>0.5395833333333333</v>
      </c>
      <c r="F972" s="4">
        <v>0.69652777777777775</v>
      </c>
      <c r="G972" s="5">
        <f t="shared" si="30"/>
        <v>7.8833333333333337</v>
      </c>
      <c r="H972" s="8">
        <f t="shared" si="31"/>
        <v>2.1527777777777812E-2</v>
      </c>
    </row>
    <row r="973" spans="1:8" x14ac:dyDescent="0.25">
      <c r="A973">
        <v>41</v>
      </c>
      <c r="B973" s="2">
        <v>44124</v>
      </c>
      <c r="C973" s="4">
        <v>0.37083333333333335</v>
      </c>
      <c r="D973" s="4">
        <v>0.51180555555555551</v>
      </c>
      <c r="E973" s="4">
        <v>0.55833333333333335</v>
      </c>
      <c r="F973" s="4">
        <v>0.70416666666666661</v>
      </c>
      <c r="G973" s="5">
        <f t="shared" si="30"/>
        <v>6.8833333333333302</v>
      </c>
      <c r="H973" s="8">
        <f t="shared" si="31"/>
        <v>1.9666666666666668</v>
      </c>
    </row>
    <row r="974" spans="1:8" x14ac:dyDescent="0.25">
      <c r="A974">
        <v>57</v>
      </c>
      <c r="B974" s="2">
        <v>44126</v>
      </c>
      <c r="C974" s="4">
        <v>0.34652777777777777</v>
      </c>
      <c r="D974" s="4">
        <v>0.51458333333333328</v>
      </c>
      <c r="E974" s="4">
        <v>0.54583333333333328</v>
      </c>
      <c r="F974" s="4">
        <v>0.6958333333333333</v>
      </c>
      <c r="G974" s="5">
        <f t="shared" si="30"/>
        <v>7.6333333333333329</v>
      </c>
      <c r="H974" s="8">
        <f t="shared" si="31"/>
        <v>1.0034722222222223</v>
      </c>
    </row>
    <row r="975" spans="1:8" x14ac:dyDescent="0.25">
      <c r="A975">
        <v>41</v>
      </c>
      <c r="B975" s="2">
        <v>44125</v>
      </c>
      <c r="C975" s="4">
        <v>0.3527777777777778</v>
      </c>
      <c r="D975" s="4">
        <v>0.50486111111111109</v>
      </c>
      <c r="E975" s="4">
        <v>0.55763888888888891</v>
      </c>
      <c r="F975" s="4">
        <v>0.69861111111111107</v>
      </c>
      <c r="G975" s="5">
        <f t="shared" si="30"/>
        <v>7.0333333333333314</v>
      </c>
      <c r="H975" s="8">
        <f t="shared" si="31"/>
        <v>0.98541666666666661</v>
      </c>
    </row>
    <row r="976" spans="1:8" x14ac:dyDescent="0.25">
      <c r="A976">
        <v>66</v>
      </c>
      <c r="B976" s="2">
        <v>44125</v>
      </c>
      <c r="C976" s="4">
        <v>0.36388888888888887</v>
      </c>
      <c r="D976" s="4">
        <v>0.5180555555555556</v>
      </c>
      <c r="E976" s="4">
        <v>0.55347222222222225</v>
      </c>
      <c r="F976" s="4">
        <v>0.70347222222222217</v>
      </c>
      <c r="G976" s="5">
        <f t="shared" si="30"/>
        <v>7.2999999999999989</v>
      </c>
      <c r="H976" s="8">
        <f t="shared" si="31"/>
        <v>1.9784722222222222</v>
      </c>
    </row>
    <row r="977" spans="1:8" x14ac:dyDescent="0.25">
      <c r="A977">
        <v>83</v>
      </c>
      <c r="B977" s="2">
        <v>44126</v>
      </c>
      <c r="C977" s="4">
        <v>0.375</v>
      </c>
      <c r="D977" s="4">
        <v>0.51666666666666672</v>
      </c>
      <c r="E977" s="4">
        <v>0.56111111111111112</v>
      </c>
      <c r="F977" s="4">
        <v>0.68541666666666667</v>
      </c>
      <c r="G977" s="5">
        <f t="shared" si="30"/>
        <v>6.3833333333333346</v>
      </c>
      <c r="H977" s="8">
        <f t="shared" si="31"/>
        <v>1.9597222222222221</v>
      </c>
    </row>
    <row r="978" spans="1:8" x14ac:dyDescent="0.25">
      <c r="A978">
        <v>90</v>
      </c>
      <c r="B978" s="2">
        <v>44126</v>
      </c>
      <c r="C978" s="4">
        <v>0.3659722222222222</v>
      </c>
      <c r="D978" s="4">
        <v>0.50763888888888886</v>
      </c>
      <c r="E978" s="4">
        <v>0.55902777777777779</v>
      </c>
      <c r="F978" s="4">
        <v>0.70138888888888884</v>
      </c>
      <c r="G978" s="5">
        <f t="shared" si="30"/>
        <v>6.8166666666666647</v>
      </c>
      <c r="H978" s="8">
        <f t="shared" si="31"/>
        <v>1.9708333333333332</v>
      </c>
    </row>
    <row r="979" spans="1:8" x14ac:dyDescent="0.25">
      <c r="A979">
        <v>83</v>
      </c>
      <c r="B979" s="2">
        <v>44123</v>
      </c>
      <c r="C979" s="4">
        <v>0.38541666666666669</v>
      </c>
      <c r="D979" s="4">
        <v>0.52013888888888882</v>
      </c>
      <c r="E979" s="4">
        <v>0.57638888888888895</v>
      </c>
      <c r="F979" s="4">
        <v>0.7006944444444444</v>
      </c>
      <c r="G979" s="5">
        <f t="shared" si="30"/>
        <v>6.2166666666666615</v>
      </c>
      <c r="H979" s="8">
        <f t="shared" si="31"/>
        <v>1.9340277777777777</v>
      </c>
    </row>
    <row r="980" spans="1:8" x14ac:dyDescent="0.25">
      <c r="A980">
        <v>31</v>
      </c>
      <c r="B980" s="2">
        <v>44125</v>
      </c>
      <c r="C980" s="4">
        <v>0.31597222222222221</v>
      </c>
      <c r="D980" s="4">
        <v>0.5131944444444444</v>
      </c>
      <c r="E980" s="4">
        <v>0.56388888888888888</v>
      </c>
      <c r="F980" s="4">
        <v>0.70277777777777783</v>
      </c>
      <c r="G980" s="5">
        <f t="shared" si="30"/>
        <v>8.0666666666666664</v>
      </c>
      <c r="H980" s="8">
        <f t="shared" si="31"/>
        <v>1.0159722222222223</v>
      </c>
    </row>
    <row r="981" spans="1:8" x14ac:dyDescent="0.25">
      <c r="A981">
        <v>45</v>
      </c>
      <c r="B981" s="2">
        <v>44123</v>
      </c>
      <c r="C981" s="4">
        <v>0.37222222222222223</v>
      </c>
      <c r="D981" s="4">
        <v>0.51041666666666663</v>
      </c>
      <c r="E981" s="4">
        <v>0.54513888888888895</v>
      </c>
      <c r="F981" s="4">
        <v>0.69791666666666663</v>
      </c>
      <c r="G981" s="5">
        <f t="shared" si="30"/>
        <v>6.9833333333333298</v>
      </c>
      <c r="H981" s="8">
        <f t="shared" si="31"/>
        <v>1.9784722222222222</v>
      </c>
    </row>
    <row r="982" spans="1:8" x14ac:dyDescent="0.25">
      <c r="A982">
        <v>14</v>
      </c>
      <c r="B982" s="2">
        <v>44126</v>
      </c>
      <c r="C982" s="4">
        <v>0.32430555555555557</v>
      </c>
      <c r="D982" s="4">
        <v>0.50277777777777777</v>
      </c>
      <c r="E982" s="4">
        <v>0.5625</v>
      </c>
      <c r="F982" s="4">
        <v>0.68541666666666667</v>
      </c>
      <c r="G982" s="5">
        <f t="shared" si="30"/>
        <v>7.2333333333333334</v>
      </c>
      <c r="H982" s="8">
        <f t="shared" si="31"/>
        <v>1.0090277777777779</v>
      </c>
    </row>
    <row r="983" spans="1:8" x14ac:dyDescent="0.25">
      <c r="A983">
        <v>25</v>
      </c>
      <c r="B983" s="2">
        <v>44126</v>
      </c>
      <c r="C983" s="4">
        <v>0.3666666666666667</v>
      </c>
      <c r="D983" s="4">
        <v>0.51250000000000007</v>
      </c>
      <c r="E983" s="4">
        <v>0.56944444444444442</v>
      </c>
      <c r="F983" s="4">
        <v>0.69513888888888886</v>
      </c>
      <c r="G983" s="5">
        <f t="shared" si="30"/>
        <v>6.5166666666666675</v>
      </c>
      <c r="H983" s="8">
        <f t="shared" si="31"/>
        <v>1.9597222222222221</v>
      </c>
    </row>
    <row r="984" spans="1:8" x14ac:dyDescent="0.25">
      <c r="A984">
        <v>11</v>
      </c>
      <c r="B984" s="2">
        <v>44124</v>
      </c>
      <c r="C984" s="4">
        <v>0.33402777777777781</v>
      </c>
      <c r="D984" s="4">
        <v>0.52083333333333337</v>
      </c>
      <c r="E984" s="4">
        <v>0.54027777777777775</v>
      </c>
      <c r="F984" s="4">
        <v>0.69930555555555562</v>
      </c>
      <c r="G984" s="5">
        <f t="shared" si="30"/>
        <v>8.3000000000000025</v>
      </c>
      <c r="H984" s="8">
        <f t="shared" si="31"/>
        <v>2.1527777777777757E-2</v>
      </c>
    </row>
    <row r="985" spans="1:8" x14ac:dyDescent="0.25">
      <c r="A985">
        <v>100</v>
      </c>
      <c r="B985" s="2">
        <v>44123</v>
      </c>
      <c r="C985" s="4">
        <v>0.35000000000000003</v>
      </c>
      <c r="D985" s="4">
        <v>0.5083333333333333</v>
      </c>
      <c r="E985" s="4">
        <v>0.57152777777777775</v>
      </c>
      <c r="F985" s="4">
        <v>0.69097222222222221</v>
      </c>
      <c r="G985" s="5">
        <f t="shared" si="30"/>
        <v>6.6666666666666661</v>
      </c>
      <c r="H985" s="8">
        <f t="shared" si="31"/>
        <v>0.97430555555555554</v>
      </c>
    </row>
    <row r="986" spans="1:8" x14ac:dyDescent="0.25">
      <c r="A986">
        <v>14</v>
      </c>
      <c r="B986" s="2">
        <v>44124</v>
      </c>
      <c r="C986" s="4">
        <v>0.37152777777777773</v>
      </c>
      <c r="D986" s="4">
        <v>0.5180555555555556</v>
      </c>
      <c r="E986" s="4">
        <v>0.55555555555555558</v>
      </c>
      <c r="F986" s="4">
        <v>0.69791666666666663</v>
      </c>
      <c r="G986" s="5">
        <f t="shared" si="30"/>
        <v>6.9333333333333336</v>
      </c>
      <c r="H986" s="8">
        <f t="shared" si="31"/>
        <v>1.96875</v>
      </c>
    </row>
    <row r="987" spans="1:8" x14ac:dyDescent="0.25">
      <c r="A987">
        <v>40</v>
      </c>
      <c r="B987" s="2">
        <v>44126</v>
      </c>
      <c r="C987" s="4">
        <v>0.3298611111111111</v>
      </c>
      <c r="D987" s="4">
        <v>0.50624999999999998</v>
      </c>
      <c r="E987" s="4">
        <v>0.56597222222222221</v>
      </c>
      <c r="F987" s="4">
        <v>0.69930555555555562</v>
      </c>
      <c r="G987" s="5">
        <f t="shared" si="30"/>
        <v>7.4333333333333345</v>
      </c>
      <c r="H987" s="8">
        <f t="shared" si="31"/>
        <v>1</v>
      </c>
    </row>
    <row r="988" spans="1:8" x14ac:dyDescent="0.25">
      <c r="A988">
        <v>38</v>
      </c>
      <c r="B988" s="2">
        <v>44124</v>
      </c>
      <c r="C988" s="4">
        <v>0.37152777777777773</v>
      </c>
      <c r="D988" s="4">
        <v>0.5131944444444444</v>
      </c>
      <c r="E988" s="4">
        <v>0.57013888888888886</v>
      </c>
      <c r="F988" s="4">
        <v>0.68402777777777779</v>
      </c>
      <c r="G988" s="5">
        <f t="shared" si="30"/>
        <v>6.1333333333333346</v>
      </c>
      <c r="H988" s="8">
        <f t="shared" si="31"/>
        <v>1.9541666666666666</v>
      </c>
    </row>
    <row r="989" spans="1:8" x14ac:dyDescent="0.25">
      <c r="A989">
        <v>60</v>
      </c>
      <c r="B989" s="2">
        <v>44123</v>
      </c>
      <c r="C989" s="4">
        <v>0.36458333333333331</v>
      </c>
      <c r="D989" s="4">
        <v>0.50763888888888886</v>
      </c>
      <c r="E989" s="4">
        <v>0.55277777777777781</v>
      </c>
      <c r="F989" s="4">
        <v>0.69097222222222221</v>
      </c>
      <c r="G989" s="5">
        <f t="shared" si="30"/>
        <v>6.7499999999999982</v>
      </c>
      <c r="H989" s="8">
        <f t="shared" si="31"/>
        <v>1.9784722222222222</v>
      </c>
    </row>
    <row r="990" spans="1:8" x14ac:dyDescent="0.25">
      <c r="A990">
        <v>54</v>
      </c>
      <c r="B990" s="2">
        <v>44123</v>
      </c>
      <c r="C990" s="4">
        <v>0.32708333333333334</v>
      </c>
      <c r="D990" s="4">
        <v>0.49652777777777773</v>
      </c>
      <c r="E990" s="4">
        <v>0.54305555555555551</v>
      </c>
      <c r="F990" s="4">
        <v>0.70347222222222217</v>
      </c>
      <c r="G990" s="5">
        <f t="shared" si="30"/>
        <v>7.9166666666666652</v>
      </c>
      <c r="H990" s="8">
        <f t="shared" si="31"/>
        <v>1.0256944444444445</v>
      </c>
    </row>
    <row r="991" spans="1:8" x14ac:dyDescent="0.25">
      <c r="A991">
        <v>12</v>
      </c>
      <c r="B991" s="2">
        <v>44125</v>
      </c>
      <c r="C991" s="4">
        <v>0.38125000000000003</v>
      </c>
      <c r="D991" s="4">
        <v>0.52013888888888882</v>
      </c>
      <c r="E991" s="4">
        <v>0.55208333333333337</v>
      </c>
      <c r="F991" s="4">
        <v>0.69791666666666663</v>
      </c>
      <c r="G991" s="5">
        <f t="shared" si="30"/>
        <v>6.8333333333333286</v>
      </c>
      <c r="H991" s="8">
        <f t="shared" si="31"/>
        <v>1.9624999999999999</v>
      </c>
    </row>
    <row r="992" spans="1:8" x14ac:dyDescent="0.25">
      <c r="A992">
        <v>56</v>
      </c>
      <c r="B992" s="2">
        <v>44126</v>
      </c>
      <c r="C992" s="4">
        <v>0.31319444444444444</v>
      </c>
      <c r="D992" s="4">
        <v>0.50347222222222221</v>
      </c>
      <c r="E992" s="4">
        <v>0.5493055555555556</v>
      </c>
      <c r="F992" s="4">
        <v>0.70208333333333339</v>
      </c>
      <c r="G992" s="5">
        <f t="shared" si="30"/>
        <v>8.2333333333333343</v>
      </c>
      <c r="H992" s="8">
        <f t="shared" si="31"/>
        <v>1.0333333333333332</v>
      </c>
    </row>
    <row r="993" spans="1:8" x14ac:dyDescent="0.25">
      <c r="A993">
        <v>23</v>
      </c>
      <c r="B993" s="2">
        <v>44123</v>
      </c>
      <c r="C993" s="4">
        <v>0.33124999999999999</v>
      </c>
      <c r="D993" s="4">
        <v>0.51250000000000007</v>
      </c>
      <c r="E993" s="4">
        <v>0.57152777777777775</v>
      </c>
      <c r="F993" s="4">
        <v>0.69930555555555562</v>
      </c>
      <c r="G993" s="5">
        <f t="shared" si="30"/>
        <v>7.4166666666666705</v>
      </c>
      <c r="H993" s="8">
        <f t="shared" si="31"/>
        <v>0.99305555555555558</v>
      </c>
    </row>
    <row r="994" spans="1:8" x14ac:dyDescent="0.25">
      <c r="A994">
        <v>34</v>
      </c>
      <c r="B994" s="2">
        <v>44124</v>
      </c>
      <c r="C994" s="4">
        <v>0.34166666666666662</v>
      </c>
      <c r="D994" s="4">
        <v>0.50277777777777777</v>
      </c>
      <c r="E994" s="4">
        <v>0.54166666666666663</v>
      </c>
      <c r="F994" s="4">
        <v>0.69652777777777775</v>
      </c>
      <c r="G994" s="5">
        <f t="shared" si="30"/>
        <v>7.5833333333333339</v>
      </c>
      <c r="H994" s="8">
        <f t="shared" si="31"/>
        <v>1.2500000000000067E-2</v>
      </c>
    </row>
    <row r="995" spans="1:8" x14ac:dyDescent="0.25">
      <c r="A995">
        <v>15</v>
      </c>
      <c r="B995" s="2">
        <v>44124</v>
      </c>
      <c r="C995" s="4">
        <v>0.37708333333333338</v>
      </c>
      <c r="D995" s="4">
        <v>0.51527777777777783</v>
      </c>
      <c r="E995" s="4">
        <v>0.57916666666666672</v>
      </c>
      <c r="F995" s="4">
        <v>0.69305555555555554</v>
      </c>
      <c r="G995" s="5">
        <f t="shared" si="30"/>
        <v>6.0499999999999989</v>
      </c>
      <c r="H995" s="8">
        <f t="shared" si="31"/>
        <v>1.9395833333333332</v>
      </c>
    </row>
    <row r="996" spans="1:8" x14ac:dyDescent="0.25">
      <c r="A996">
        <v>53</v>
      </c>
      <c r="B996" s="2">
        <v>44125</v>
      </c>
      <c r="C996" s="4">
        <v>0.34930555555555554</v>
      </c>
      <c r="D996" s="4">
        <v>0.51458333333333328</v>
      </c>
      <c r="E996" s="4">
        <v>0.56319444444444444</v>
      </c>
      <c r="F996" s="4">
        <v>0.69513888888888886</v>
      </c>
      <c r="G996" s="5">
        <f t="shared" si="30"/>
        <v>7.133333333333332</v>
      </c>
      <c r="H996" s="8">
        <f t="shared" si="31"/>
        <v>0.98333333333333339</v>
      </c>
    </row>
    <row r="997" spans="1:8" x14ac:dyDescent="0.25">
      <c r="A997">
        <v>77</v>
      </c>
      <c r="B997" s="2">
        <v>44126</v>
      </c>
      <c r="C997" s="4">
        <v>0.32013888888888892</v>
      </c>
      <c r="D997" s="4">
        <v>0.50138888888888888</v>
      </c>
      <c r="E997" s="4">
        <v>0.55486111111111114</v>
      </c>
      <c r="F997" s="4">
        <v>0.68680555555555556</v>
      </c>
      <c r="G997" s="5">
        <f t="shared" si="30"/>
        <v>7.5166666666666657</v>
      </c>
      <c r="H997" s="8">
        <f t="shared" si="31"/>
        <v>1.0208333333333333</v>
      </c>
    </row>
    <row r="998" spans="1:8" x14ac:dyDescent="0.25">
      <c r="A998">
        <v>3</v>
      </c>
      <c r="B998" s="2">
        <v>44124</v>
      </c>
      <c r="C998" s="4">
        <v>0.33402777777777781</v>
      </c>
      <c r="D998" s="4">
        <v>0.49652777777777773</v>
      </c>
      <c r="E998" s="4">
        <v>0.56944444444444442</v>
      </c>
      <c r="F998" s="4">
        <v>0.68541666666666667</v>
      </c>
      <c r="G998" s="5">
        <f t="shared" si="30"/>
        <v>6.6833333333333318</v>
      </c>
      <c r="H998" s="8">
        <f t="shared" si="31"/>
        <v>0.99236111111111103</v>
      </c>
    </row>
    <row r="999" spans="1:8" x14ac:dyDescent="0.25">
      <c r="A999">
        <v>92</v>
      </c>
      <c r="B999" s="2">
        <v>44123</v>
      </c>
      <c r="C999" s="4">
        <v>0.32222222222222224</v>
      </c>
      <c r="D999" s="4">
        <v>0.51180555555555551</v>
      </c>
      <c r="E999" s="4">
        <v>0.53888888888888886</v>
      </c>
      <c r="F999" s="4">
        <v>0.68680555555555556</v>
      </c>
      <c r="G999" s="5">
        <f t="shared" si="30"/>
        <v>8.1</v>
      </c>
      <c r="H999" s="8">
        <f t="shared" si="31"/>
        <v>3.472222222222221E-2</v>
      </c>
    </row>
    <row r="1000" spans="1:8" x14ac:dyDescent="0.25">
      <c r="A1000">
        <v>25</v>
      </c>
      <c r="B1000" s="2">
        <v>44123</v>
      </c>
      <c r="C1000" s="4">
        <v>0.33263888888888887</v>
      </c>
      <c r="D1000" s="4">
        <v>0.5131944444444444</v>
      </c>
      <c r="E1000" s="4">
        <v>0.54791666666666672</v>
      </c>
      <c r="F1000" s="4">
        <v>0.69374999999999998</v>
      </c>
      <c r="G1000" s="5">
        <f t="shared" si="30"/>
        <v>7.8333333333333304</v>
      </c>
      <c r="H1000" s="8">
        <f t="shared" si="31"/>
        <v>1.0152777777777777</v>
      </c>
    </row>
    <row r="1001" spans="1:8" x14ac:dyDescent="0.25">
      <c r="A1001">
        <v>54</v>
      </c>
      <c r="B1001" s="2">
        <v>44123</v>
      </c>
      <c r="C1001" s="4">
        <v>0.33958333333333335</v>
      </c>
      <c r="D1001" s="4">
        <v>0.49652777777777773</v>
      </c>
      <c r="E1001" s="4">
        <v>0.55347222222222225</v>
      </c>
      <c r="F1001" s="4">
        <v>0.69305555555555554</v>
      </c>
      <c r="G1001" s="5">
        <f t="shared" si="30"/>
        <v>7.1166666666666636</v>
      </c>
      <c r="H1001" s="8">
        <f t="shared" si="31"/>
        <v>1.0027777777777778</v>
      </c>
    </row>
    <row r="1002" spans="1:8" x14ac:dyDescent="0.25">
      <c r="A1002">
        <v>34</v>
      </c>
      <c r="B1002" s="2">
        <v>44123</v>
      </c>
      <c r="C1002" s="4">
        <v>0.37152777777777773</v>
      </c>
      <c r="D1002" s="4">
        <v>0.51388888888888895</v>
      </c>
      <c r="E1002" s="4">
        <v>0.5444444444444444</v>
      </c>
      <c r="F1002" s="4">
        <v>0.68888888888888899</v>
      </c>
      <c r="G1002" s="5">
        <f t="shared" si="30"/>
        <v>6.88333333333334</v>
      </c>
      <c r="H1002" s="8">
        <f t="shared" si="31"/>
        <v>1.9798611111111111</v>
      </c>
    </row>
    <row r="1003" spans="1:8" x14ac:dyDescent="0.25">
      <c r="A1003">
        <v>54</v>
      </c>
      <c r="B1003" s="2">
        <v>44125</v>
      </c>
      <c r="C1003" s="4">
        <v>0.32916666666666666</v>
      </c>
      <c r="D1003" s="4">
        <v>0.51250000000000007</v>
      </c>
      <c r="E1003" s="4">
        <v>0.56111111111111112</v>
      </c>
      <c r="F1003" s="4">
        <v>0.69374999999999998</v>
      </c>
      <c r="G1003" s="5">
        <f t="shared" si="30"/>
        <v>7.5833333333333348</v>
      </c>
      <c r="H1003" s="8">
        <f t="shared" si="31"/>
        <v>1.0055555555555555</v>
      </c>
    </row>
    <row r="1004" spans="1:8" x14ac:dyDescent="0.25">
      <c r="A1004">
        <v>81</v>
      </c>
      <c r="B1004" s="2">
        <v>44123</v>
      </c>
      <c r="C1004" s="4">
        <v>0.38819444444444445</v>
      </c>
      <c r="D1004" s="4">
        <v>0.49861111111111112</v>
      </c>
      <c r="E1004" s="4">
        <v>0.54722222222222217</v>
      </c>
      <c r="F1004" s="4">
        <v>0.69930555555555562</v>
      </c>
      <c r="G1004" s="5">
        <f t="shared" si="30"/>
        <v>6.3000000000000025</v>
      </c>
      <c r="H1004" s="8">
        <f t="shared" si="31"/>
        <v>1.9604166666666667</v>
      </c>
    </row>
    <row r="1005" spans="1:8" x14ac:dyDescent="0.25">
      <c r="A1005">
        <v>35</v>
      </c>
      <c r="B1005" s="2">
        <v>44124</v>
      </c>
      <c r="C1005" s="4">
        <v>0.3756944444444445</v>
      </c>
      <c r="D1005" s="4">
        <v>0.50972222222222219</v>
      </c>
      <c r="E1005" s="4">
        <v>0.55277777777777781</v>
      </c>
      <c r="F1005" s="4">
        <v>0.70416666666666661</v>
      </c>
      <c r="G1005" s="5">
        <f t="shared" si="30"/>
        <v>6.8499999999999961</v>
      </c>
      <c r="H1005" s="8">
        <f t="shared" si="31"/>
        <v>1.9673611111111109</v>
      </c>
    </row>
    <row r="1006" spans="1:8" x14ac:dyDescent="0.25">
      <c r="A1006">
        <v>42</v>
      </c>
      <c r="B1006" s="2">
        <v>44124</v>
      </c>
      <c r="C1006" s="4">
        <v>0.31319444444444444</v>
      </c>
      <c r="D1006" s="4">
        <v>0.49722222222222223</v>
      </c>
      <c r="E1006" s="4">
        <v>0.56597222222222221</v>
      </c>
      <c r="F1006" s="4">
        <v>0.70347222222222217</v>
      </c>
      <c r="G1006" s="5">
        <f t="shared" si="30"/>
        <v>7.7166666666666659</v>
      </c>
      <c r="H1006" s="8">
        <f t="shared" si="31"/>
        <v>1.0166666666666666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A017C-0F97-44F2-A65D-8D5A42BF39D0}">
  <sheetPr codeName="Sheet11"/>
  <dimension ref="A1:I1006"/>
  <sheetViews>
    <sheetView tabSelected="1" workbookViewId="0"/>
  </sheetViews>
  <sheetFormatPr defaultRowHeight="15" x14ac:dyDescent="0.25"/>
  <cols>
    <col min="1" max="1" width="18.28515625" bestFit="1" customWidth="1"/>
    <col min="2" max="2" width="13.7109375" bestFit="1" customWidth="1"/>
    <col min="3" max="3" width="13.85546875" bestFit="1" customWidth="1"/>
    <col min="4" max="5" width="18" bestFit="1" customWidth="1"/>
    <col min="6" max="6" width="18.85546875" bestFit="1" customWidth="1"/>
  </cols>
  <sheetData>
    <row r="1" spans="1:9" x14ac:dyDescent="0.25">
      <c r="A1" t="s">
        <v>1759</v>
      </c>
    </row>
    <row r="6" spans="1:9" x14ac:dyDescent="0.25">
      <c r="A6" t="s">
        <v>38</v>
      </c>
      <c r="B6" t="s">
        <v>1760</v>
      </c>
      <c r="C6" t="s">
        <v>1761</v>
      </c>
      <c r="D6" t="s">
        <v>1763</v>
      </c>
      <c r="E6" t="s">
        <v>1764</v>
      </c>
      <c r="F6" t="s">
        <v>1762</v>
      </c>
      <c r="I6" s="2"/>
    </row>
    <row r="7" spans="1:9" x14ac:dyDescent="0.25">
      <c r="A7">
        <v>9</v>
      </c>
      <c r="B7">
        <f>CalculateVacation(VLOOKUP(A7,'Employee Data'!A7:P106,16,FALSE),VLOOKUP(A7,'Employee Data'!A7:V106,22,FALSE))</f>
        <v>36</v>
      </c>
      <c r="C7">
        <v>3</v>
      </c>
      <c r="D7" s="3">
        <v>43778</v>
      </c>
      <c r="E7" s="3">
        <v>43803</v>
      </c>
      <c r="F7">
        <f>B7-C7</f>
        <v>33</v>
      </c>
    </row>
    <row r="8" spans="1:9" x14ac:dyDescent="0.25">
      <c r="A8">
        <v>38</v>
      </c>
      <c r="B8">
        <f>CalculateVacation(VLOOKUP(A8,'Employee Data'!A7:P106,16,FALSE),VLOOKUP(A8,'Employee Data'!A7:V106,22,FALSE))</f>
        <v>387.5</v>
      </c>
      <c r="C8">
        <v>6</v>
      </c>
      <c r="D8" s="3">
        <v>43616</v>
      </c>
      <c r="E8" s="3">
        <v>43716</v>
      </c>
      <c r="F8">
        <f t="shared" ref="F8:F71" si="0">B8-C8</f>
        <v>381.5</v>
      </c>
    </row>
    <row r="9" spans="1:9" x14ac:dyDescent="0.25">
      <c r="A9">
        <v>46</v>
      </c>
      <c r="B9">
        <f>CalculateVacation(VLOOKUP(A9,'Employee Data'!A7:P106,16,FALSE),VLOOKUP(A9,'Employee Data'!A7:V106,22,FALSE))</f>
        <v>50</v>
      </c>
      <c r="C9">
        <v>12</v>
      </c>
      <c r="D9" s="3">
        <v>43668</v>
      </c>
      <c r="E9" s="3">
        <v>43868</v>
      </c>
      <c r="F9">
        <f t="shared" si="0"/>
        <v>38</v>
      </c>
    </row>
    <row r="10" spans="1:9" x14ac:dyDescent="0.25">
      <c r="A10">
        <v>3</v>
      </c>
      <c r="B10">
        <f>CalculateVacation(VLOOKUP(A10,'Employee Data'!A7:P106,16,FALSE),VLOOKUP(A10,'Employee Data'!A7:V106,22,FALSE))</f>
        <v>238</v>
      </c>
      <c r="C10">
        <v>18</v>
      </c>
      <c r="D10" s="3">
        <v>43907</v>
      </c>
      <c r="E10" s="3">
        <v>44057</v>
      </c>
      <c r="F10">
        <f t="shared" si="0"/>
        <v>220</v>
      </c>
    </row>
    <row r="11" spans="1:9" x14ac:dyDescent="0.25">
      <c r="A11">
        <v>36</v>
      </c>
      <c r="B11">
        <f>CalculateVacation(VLOOKUP(A11,'Employee Data'!A7:P106,16,FALSE),VLOOKUP(A11,'Employee Data'!A7:V106,22,FALSE))</f>
        <v>675</v>
      </c>
      <c r="C11">
        <v>27</v>
      </c>
      <c r="D11" s="3">
        <v>44079</v>
      </c>
      <c r="E11" s="3">
        <v>44087</v>
      </c>
      <c r="F11">
        <f t="shared" si="0"/>
        <v>648</v>
      </c>
    </row>
    <row r="12" spans="1:9" x14ac:dyDescent="0.25">
      <c r="A12">
        <v>98</v>
      </c>
      <c r="B12">
        <f>CalculateVacation(VLOOKUP(A12,'Employee Data'!A7:P106,16,FALSE),VLOOKUP(A12,'Employee Data'!A7:V106,22,FALSE))</f>
        <v>648</v>
      </c>
      <c r="C12">
        <v>20</v>
      </c>
      <c r="D12" s="3">
        <v>43923</v>
      </c>
      <c r="E12" s="3">
        <v>43924</v>
      </c>
      <c r="F12">
        <f t="shared" si="0"/>
        <v>628</v>
      </c>
    </row>
    <row r="13" spans="1:9" x14ac:dyDescent="0.25">
      <c r="A13">
        <v>31</v>
      </c>
      <c r="B13">
        <f>CalculateVacation(VLOOKUP(A13,'Employee Data'!A7:P106,16,FALSE),VLOOKUP(A13,'Employee Data'!A7:V106,22,FALSE))</f>
        <v>570</v>
      </c>
      <c r="C13">
        <v>7</v>
      </c>
      <c r="D13" s="3">
        <v>43997</v>
      </c>
      <c r="E13" s="3">
        <v>44002</v>
      </c>
      <c r="F13">
        <f t="shared" si="0"/>
        <v>563</v>
      </c>
    </row>
    <row r="14" spans="1:9" x14ac:dyDescent="0.25">
      <c r="A14">
        <v>89</v>
      </c>
      <c r="B14">
        <f>CalculateVacation(VLOOKUP(A14,'Employee Data'!A7:P106,16,FALSE),VLOOKUP(A14,'Employee Data'!A7:V106,22,FALSE))</f>
        <v>126</v>
      </c>
      <c r="C14">
        <v>9</v>
      </c>
      <c r="D14" s="3">
        <v>43646</v>
      </c>
      <c r="E14" s="3">
        <v>43911</v>
      </c>
      <c r="F14">
        <f t="shared" si="0"/>
        <v>117</v>
      </c>
    </row>
    <row r="15" spans="1:9" x14ac:dyDescent="0.25">
      <c r="A15">
        <v>61</v>
      </c>
      <c r="B15">
        <f>CalculateVacation(VLOOKUP(A15,'Employee Data'!A7:P106,16,FALSE),VLOOKUP(A15,'Employee Data'!A7:V106,22,FALSE))</f>
        <v>126</v>
      </c>
      <c r="C15">
        <v>30</v>
      </c>
      <c r="D15" s="3">
        <v>43525</v>
      </c>
      <c r="E15" s="3">
        <v>43694</v>
      </c>
      <c r="F15">
        <f t="shared" si="0"/>
        <v>96</v>
      </c>
    </row>
    <row r="16" spans="1:9" x14ac:dyDescent="0.25">
      <c r="A16">
        <v>75</v>
      </c>
      <c r="B16">
        <f>CalculateVacation(VLOOKUP(A16,'Employee Data'!A7:P106,16,FALSE),VLOOKUP(A16,'Employee Data'!A7:V106,22,FALSE))</f>
        <v>407.5</v>
      </c>
      <c r="C16">
        <v>23</v>
      </c>
      <c r="D16" s="3">
        <v>43652</v>
      </c>
      <c r="E16" s="3">
        <v>43778</v>
      </c>
      <c r="F16">
        <f t="shared" si="0"/>
        <v>384.5</v>
      </c>
    </row>
    <row r="17" spans="1:6" x14ac:dyDescent="0.25">
      <c r="A17">
        <v>32</v>
      </c>
      <c r="B17">
        <f>CalculateVacation(VLOOKUP(A17,'Employee Data'!A7:P106,16,FALSE),VLOOKUP(A17,'Employee Data'!A7:V106,22,FALSE))</f>
        <v>238</v>
      </c>
      <c r="C17">
        <v>24</v>
      </c>
      <c r="D17" s="3">
        <v>43942</v>
      </c>
      <c r="E17" s="3">
        <v>43991</v>
      </c>
      <c r="F17">
        <f t="shared" si="0"/>
        <v>214</v>
      </c>
    </row>
    <row r="18" spans="1:6" x14ac:dyDescent="0.25">
      <c r="A18">
        <v>27</v>
      </c>
      <c r="B18">
        <f>CalculateVacation(VLOOKUP(A18,'Employee Data'!A7:P106,16,FALSE),VLOOKUP(A18,'Employee Data'!A7:V106,22,FALSE))</f>
        <v>0</v>
      </c>
      <c r="C18">
        <v>12</v>
      </c>
      <c r="D18" s="3">
        <v>43490</v>
      </c>
      <c r="E18" s="3">
        <v>43495</v>
      </c>
      <c r="F18">
        <f t="shared" si="0"/>
        <v>-12</v>
      </c>
    </row>
    <row r="19" spans="1:6" x14ac:dyDescent="0.25">
      <c r="A19">
        <v>90</v>
      </c>
      <c r="B19">
        <f>CalculateVacation(VLOOKUP(A19,'Employee Data'!A7:P106,16,FALSE),VLOOKUP(A19,'Employee Data'!A7:V106,22,FALSE))</f>
        <v>154.5</v>
      </c>
      <c r="C19">
        <v>17</v>
      </c>
      <c r="D19" s="3">
        <v>43599</v>
      </c>
      <c r="E19" s="3">
        <v>43661</v>
      </c>
      <c r="F19">
        <f t="shared" si="0"/>
        <v>137.5</v>
      </c>
    </row>
    <row r="20" spans="1:6" x14ac:dyDescent="0.25">
      <c r="A20">
        <v>41</v>
      </c>
      <c r="B20">
        <f>CalculateVacation(VLOOKUP(A20,'Employee Data'!A7:P106,16,FALSE),VLOOKUP(A20,'Employee Data'!A7:V106,22,FALSE))</f>
        <v>365</v>
      </c>
      <c r="C20">
        <v>2</v>
      </c>
      <c r="D20" s="3">
        <v>43942</v>
      </c>
      <c r="E20" s="3">
        <v>43945</v>
      </c>
      <c r="F20">
        <f t="shared" si="0"/>
        <v>363</v>
      </c>
    </row>
    <row r="21" spans="1:6" x14ac:dyDescent="0.25">
      <c r="A21">
        <v>97</v>
      </c>
      <c r="B21">
        <f>CalculateVacation(VLOOKUP(A21,'Employee Data'!A7:P106,16,FALSE),VLOOKUP(A21,'Employee Data'!A7:V106,22,FALSE))</f>
        <v>355</v>
      </c>
      <c r="C21">
        <v>22</v>
      </c>
      <c r="D21" s="3">
        <v>43501</v>
      </c>
      <c r="E21" s="3">
        <v>43720</v>
      </c>
      <c r="F21">
        <f t="shared" si="0"/>
        <v>333</v>
      </c>
    </row>
    <row r="22" spans="1:6" x14ac:dyDescent="0.25">
      <c r="A22">
        <v>89</v>
      </c>
      <c r="B22">
        <f>CalculateVacation(VLOOKUP(A22,'Employee Data'!A7:P106,16,FALSE),VLOOKUP(A22,'Employee Data'!A7:V106,22,FALSE))</f>
        <v>126</v>
      </c>
      <c r="C22">
        <v>25</v>
      </c>
      <c r="D22" s="3">
        <v>43700</v>
      </c>
      <c r="E22" s="3">
        <v>43709</v>
      </c>
      <c r="F22">
        <f t="shared" si="0"/>
        <v>101</v>
      </c>
    </row>
    <row r="23" spans="1:6" x14ac:dyDescent="0.25">
      <c r="A23">
        <v>18</v>
      </c>
      <c r="B23">
        <f>CalculateVacation(VLOOKUP(A23,'Employee Data'!A7:P106,16,FALSE),VLOOKUP(A23,'Employee Data'!A7:V106,22,FALSE))</f>
        <v>603</v>
      </c>
      <c r="C23">
        <v>2</v>
      </c>
      <c r="D23" s="3">
        <v>44035</v>
      </c>
      <c r="E23" s="3">
        <v>44035</v>
      </c>
      <c r="F23">
        <f t="shared" si="0"/>
        <v>601</v>
      </c>
    </row>
    <row r="24" spans="1:6" x14ac:dyDescent="0.25">
      <c r="A24">
        <v>88</v>
      </c>
      <c r="B24">
        <f>CalculateVacation(VLOOKUP(A24,'Employee Data'!A7:P106,16,FALSE),VLOOKUP(A24,'Employee Data'!A7:V106,22,FALSE))</f>
        <v>390</v>
      </c>
      <c r="C24">
        <v>29</v>
      </c>
      <c r="D24" s="3">
        <v>44101</v>
      </c>
      <c r="E24" s="3">
        <v>44109</v>
      </c>
      <c r="F24">
        <f t="shared" si="0"/>
        <v>361</v>
      </c>
    </row>
    <row r="25" spans="1:6" x14ac:dyDescent="0.25">
      <c r="A25">
        <v>96</v>
      </c>
      <c r="B25">
        <f>CalculateVacation(VLOOKUP(A25,'Employee Data'!A7:P106,16,FALSE),VLOOKUP(A25,'Employee Data'!A7:V106,22,FALSE))</f>
        <v>0</v>
      </c>
      <c r="C25">
        <v>3</v>
      </c>
      <c r="D25" s="3">
        <v>43611</v>
      </c>
      <c r="E25" s="3">
        <v>43620</v>
      </c>
      <c r="F25">
        <f t="shared" si="0"/>
        <v>-3</v>
      </c>
    </row>
    <row r="26" spans="1:6" x14ac:dyDescent="0.25">
      <c r="A26">
        <v>39</v>
      </c>
      <c r="B26">
        <f>CalculateVacation(VLOOKUP(A26,'Employee Data'!A7:P106,16,FALSE),VLOOKUP(A26,'Employee Data'!A7:V106,22,FALSE))</f>
        <v>0</v>
      </c>
      <c r="C26">
        <v>10</v>
      </c>
      <c r="D26" s="3">
        <v>43861</v>
      </c>
      <c r="E26" s="3">
        <v>44047</v>
      </c>
      <c r="F26">
        <f t="shared" si="0"/>
        <v>-10</v>
      </c>
    </row>
    <row r="27" spans="1:6" x14ac:dyDescent="0.25">
      <c r="A27">
        <v>31</v>
      </c>
      <c r="B27">
        <f>CalculateVacation(VLOOKUP(A27,'Employee Data'!A7:P106,16,FALSE),VLOOKUP(A27,'Employee Data'!A7:V106,22,FALSE))</f>
        <v>570</v>
      </c>
      <c r="C27">
        <v>27</v>
      </c>
      <c r="D27" s="3">
        <v>43550</v>
      </c>
      <c r="E27" s="3">
        <v>43554</v>
      </c>
      <c r="F27">
        <f t="shared" si="0"/>
        <v>543</v>
      </c>
    </row>
    <row r="28" spans="1:6" x14ac:dyDescent="0.25">
      <c r="A28">
        <v>52</v>
      </c>
      <c r="B28">
        <f>CalculateVacation(VLOOKUP(A28,'Employee Data'!A7:P106,16,FALSE),VLOOKUP(A28,'Employee Data'!A7:V106,22,FALSE))</f>
        <v>8</v>
      </c>
      <c r="C28">
        <v>13</v>
      </c>
      <c r="D28" s="3">
        <v>43846</v>
      </c>
      <c r="E28" s="3">
        <v>43852</v>
      </c>
      <c r="F28">
        <f t="shared" si="0"/>
        <v>-5</v>
      </c>
    </row>
    <row r="29" spans="1:6" x14ac:dyDescent="0.25">
      <c r="A29">
        <v>14</v>
      </c>
      <c r="B29">
        <f>CalculateVacation(VLOOKUP(A29,'Employee Data'!A7:P106,16,FALSE),VLOOKUP(A29,'Employee Data'!A7:V106,22,FALSE))</f>
        <v>0</v>
      </c>
      <c r="C29">
        <v>28</v>
      </c>
      <c r="D29" s="3">
        <v>43491</v>
      </c>
      <c r="E29" s="3">
        <v>43809</v>
      </c>
      <c r="F29">
        <f t="shared" si="0"/>
        <v>-28</v>
      </c>
    </row>
    <row r="30" spans="1:6" x14ac:dyDescent="0.25">
      <c r="A30">
        <v>70</v>
      </c>
      <c r="B30">
        <f>CalculateVacation(VLOOKUP(A30,'Employee Data'!A7:P106,16,FALSE),VLOOKUP(A30,'Employee Data'!A7:V106,22,FALSE))</f>
        <v>543</v>
      </c>
      <c r="C30">
        <v>1</v>
      </c>
      <c r="D30" s="3">
        <v>43960</v>
      </c>
      <c r="E30" s="3">
        <v>44075</v>
      </c>
      <c r="F30">
        <f t="shared" si="0"/>
        <v>542</v>
      </c>
    </row>
    <row r="31" spans="1:6" x14ac:dyDescent="0.25">
      <c r="A31">
        <v>94</v>
      </c>
      <c r="B31">
        <f>CalculateVacation(VLOOKUP(A31,'Employee Data'!A7:P106,16,FALSE),VLOOKUP(A31,'Employee Data'!A7:V106,22,FALSE))</f>
        <v>130.5</v>
      </c>
      <c r="C31">
        <v>20</v>
      </c>
      <c r="D31" s="3">
        <v>43878</v>
      </c>
      <c r="E31" s="3">
        <v>44004</v>
      </c>
      <c r="F31">
        <f t="shared" si="0"/>
        <v>110.5</v>
      </c>
    </row>
    <row r="32" spans="1:6" x14ac:dyDescent="0.25">
      <c r="A32">
        <v>34</v>
      </c>
      <c r="B32">
        <f>CalculateVacation(VLOOKUP(A32,'Employee Data'!A7:P106,16,FALSE),VLOOKUP(A32,'Employee Data'!A7:V106,22,FALSE))</f>
        <v>591</v>
      </c>
      <c r="C32">
        <v>3</v>
      </c>
      <c r="D32" s="3">
        <v>43755</v>
      </c>
      <c r="E32" s="3">
        <v>43764</v>
      </c>
      <c r="F32">
        <f t="shared" si="0"/>
        <v>588</v>
      </c>
    </row>
    <row r="33" spans="1:6" x14ac:dyDescent="0.25">
      <c r="A33">
        <v>93</v>
      </c>
      <c r="B33">
        <f>CalculateVacation(VLOOKUP(A33,'Employee Data'!A7:P106,16,FALSE),VLOOKUP(A33,'Employee Data'!A7:V106,22,FALSE))</f>
        <v>151.5</v>
      </c>
      <c r="C33">
        <v>27</v>
      </c>
      <c r="D33" s="3">
        <v>43820</v>
      </c>
      <c r="E33" s="3">
        <v>43822</v>
      </c>
      <c r="F33">
        <f t="shared" si="0"/>
        <v>124.5</v>
      </c>
    </row>
    <row r="34" spans="1:6" x14ac:dyDescent="0.25">
      <c r="A34">
        <v>7</v>
      </c>
      <c r="B34">
        <f>CalculateVacation(VLOOKUP(A34,'Employee Data'!A7:P106,16,FALSE),VLOOKUP(A34,'Employee Data'!A7:V106,22,FALSE))</f>
        <v>642</v>
      </c>
      <c r="C34">
        <v>24</v>
      </c>
      <c r="D34" s="3">
        <v>43615</v>
      </c>
      <c r="E34" s="3">
        <v>43622</v>
      </c>
      <c r="F34">
        <f t="shared" si="0"/>
        <v>618</v>
      </c>
    </row>
    <row r="35" spans="1:6" x14ac:dyDescent="0.25">
      <c r="A35">
        <v>19</v>
      </c>
      <c r="B35">
        <f>CalculateVacation(VLOOKUP(A35,'Employee Data'!A7:P106,16,FALSE),VLOOKUP(A35,'Employee Data'!A7:V106,22,FALSE))</f>
        <v>13</v>
      </c>
      <c r="C35">
        <v>14</v>
      </c>
      <c r="D35" s="3">
        <v>43885</v>
      </c>
      <c r="E35" s="3">
        <v>44015</v>
      </c>
      <c r="F35">
        <f t="shared" si="0"/>
        <v>-1</v>
      </c>
    </row>
    <row r="36" spans="1:6" x14ac:dyDescent="0.25">
      <c r="A36">
        <v>57</v>
      </c>
      <c r="B36">
        <f>CalculateVacation(VLOOKUP(A36,'Employee Data'!A7:P106,16,FALSE),VLOOKUP(A36,'Employee Data'!A7:V106,22,FALSE))</f>
        <v>99</v>
      </c>
      <c r="C36">
        <v>19</v>
      </c>
      <c r="D36" s="3">
        <v>44015</v>
      </c>
      <c r="E36" s="3">
        <v>44021</v>
      </c>
      <c r="F36">
        <f t="shared" si="0"/>
        <v>80</v>
      </c>
    </row>
    <row r="37" spans="1:6" x14ac:dyDescent="0.25">
      <c r="A37">
        <v>52</v>
      </c>
      <c r="B37">
        <f>CalculateVacation(VLOOKUP(A37,'Employee Data'!A7:P106,16,FALSE),VLOOKUP(A37,'Employee Data'!A7:V106,22,FALSE))</f>
        <v>8</v>
      </c>
      <c r="C37">
        <v>18</v>
      </c>
      <c r="D37" s="3">
        <v>43619</v>
      </c>
      <c r="E37" s="3">
        <v>43634</v>
      </c>
      <c r="F37">
        <f t="shared" si="0"/>
        <v>-10</v>
      </c>
    </row>
    <row r="38" spans="1:6" x14ac:dyDescent="0.25">
      <c r="A38">
        <v>22</v>
      </c>
      <c r="B38">
        <f>CalculateVacation(VLOOKUP(A38,'Employee Data'!A7:P106,16,FALSE),VLOOKUP(A38,'Employee Data'!A7:V106,22,FALSE))</f>
        <v>43</v>
      </c>
      <c r="C38">
        <v>15</v>
      </c>
      <c r="D38" s="3">
        <v>43727</v>
      </c>
      <c r="E38" s="3">
        <v>43870</v>
      </c>
      <c r="F38">
        <f t="shared" si="0"/>
        <v>28</v>
      </c>
    </row>
    <row r="39" spans="1:6" x14ac:dyDescent="0.25">
      <c r="A39">
        <v>74</v>
      </c>
      <c r="B39">
        <f>CalculateVacation(VLOOKUP(A39,'Employee Data'!A7:P106,16,FALSE),VLOOKUP(A39,'Employee Data'!A7:V106,22,FALSE))</f>
        <v>417.5</v>
      </c>
      <c r="C39">
        <v>16</v>
      </c>
      <c r="D39" s="3">
        <v>44063</v>
      </c>
      <c r="E39" s="3">
        <v>44067</v>
      </c>
      <c r="F39">
        <f t="shared" si="0"/>
        <v>401.5</v>
      </c>
    </row>
    <row r="40" spans="1:6" x14ac:dyDescent="0.25">
      <c r="A40">
        <v>85</v>
      </c>
      <c r="B40">
        <f>CalculateVacation(VLOOKUP(A40,'Employee Data'!A7:P106,16,FALSE),VLOOKUP(A40,'Employee Data'!A7:V106,22,FALSE))</f>
        <v>636</v>
      </c>
      <c r="C40">
        <v>10</v>
      </c>
      <c r="D40" s="3">
        <v>43561</v>
      </c>
      <c r="E40" s="3">
        <v>43607</v>
      </c>
      <c r="F40">
        <f t="shared" si="0"/>
        <v>626</v>
      </c>
    </row>
    <row r="41" spans="1:6" x14ac:dyDescent="0.25">
      <c r="A41">
        <v>29</v>
      </c>
      <c r="B41">
        <f>CalculateVacation(VLOOKUP(A41,'Employee Data'!A7:P106,16,FALSE),VLOOKUP(A41,'Employee Data'!A7:V106,22,FALSE))</f>
        <v>412.5</v>
      </c>
      <c r="C41">
        <v>10</v>
      </c>
      <c r="D41" s="3">
        <v>43721</v>
      </c>
      <c r="E41" s="3">
        <v>43724</v>
      </c>
      <c r="F41">
        <f t="shared" si="0"/>
        <v>402.5</v>
      </c>
    </row>
    <row r="42" spans="1:6" x14ac:dyDescent="0.25">
      <c r="A42">
        <v>36</v>
      </c>
      <c r="B42">
        <f>CalculateVacation(VLOOKUP(A42,'Employee Data'!A7:P106,16,FALSE),VLOOKUP(A42,'Employee Data'!A7:V106,22,FALSE))</f>
        <v>675</v>
      </c>
      <c r="C42">
        <v>25</v>
      </c>
      <c r="D42" s="3">
        <v>43660</v>
      </c>
      <c r="E42" s="3">
        <v>43823</v>
      </c>
      <c r="F42">
        <f t="shared" si="0"/>
        <v>650</v>
      </c>
    </row>
    <row r="43" spans="1:6" x14ac:dyDescent="0.25">
      <c r="A43">
        <v>15</v>
      </c>
      <c r="B43">
        <f>CalculateVacation(VLOOKUP(A43,'Employee Data'!A7:P106,16,FALSE),VLOOKUP(A43,'Employee Data'!A7:V106,22,FALSE))</f>
        <v>651</v>
      </c>
      <c r="C43">
        <v>27</v>
      </c>
      <c r="D43" s="3">
        <v>43985</v>
      </c>
      <c r="E43" s="3">
        <v>43988</v>
      </c>
      <c r="F43">
        <f t="shared" si="0"/>
        <v>624</v>
      </c>
    </row>
    <row r="44" spans="1:6" x14ac:dyDescent="0.25">
      <c r="A44">
        <v>16</v>
      </c>
      <c r="B44">
        <f>CalculateVacation(VLOOKUP(A44,'Employee Data'!A7:P106,16,FALSE),VLOOKUP(A44,'Employee Data'!A7:V106,22,FALSE))</f>
        <v>240</v>
      </c>
      <c r="C44">
        <v>10</v>
      </c>
      <c r="D44" s="3">
        <v>44040</v>
      </c>
      <c r="E44" s="3">
        <v>44050</v>
      </c>
      <c r="F44">
        <f t="shared" si="0"/>
        <v>230</v>
      </c>
    </row>
    <row r="45" spans="1:6" x14ac:dyDescent="0.25">
      <c r="A45">
        <v>23</v>
      </c>
      <c r="B45">
        <f>CalculateVacation(VLOOKUP(A45,'Employee Data'!A7:P106,16,FALSE),VLOOKUP(A45,'Employee Data'!A7:V106,22,FALSE))</f>
        <v>666</v>
      </c>
      <c r="C45">
        <v>22</v>
      </c>
      <c r="D45" s="3">
        <v>43625</v>
      </c>
      <c r="E45" s="3">
        <v>43715</v>
      </c>
      <c r="F45">
        <f t="shared" si="0"/>
        <v>644</v>
      </c>
    </row>
    <row r="46" spans="1:6" x14ac:dyDescent="0.25">
      <c r="A46">
        <v>13</v>
      </c>
      <c r="B46">
        <f>CalculateVacation(VLOOKUP(A46,'Employee Data'!A7:P106,16,FALSE),VLOOKUP(A46,'Employee Data'!A7:V106,22,FALSE))</f>
        <v>633</v>
      </c>
      <c r="C46">
        <v>18</v>
      </c>
      <c r="D46" s="3">
        <v>43865</v>
      </c>
      <c r="E46" s="3">
        <v>43866</v>
      </c>
      <c r="F46">
        <f t="shared" si="0"/>
        <v>615</v>
      </c>
    </row>
    <row r="47" spans="1:6" x14ac:dyDescent="0.25">
      <c r="A47">
        <v>56</v>
      </c>
      <c r="B47">
        <f>CalculateVacation(VLOOKUP(A47,'Employee Data'!A7:P106,16,FALSE),VLOOKUP(A47,'Employee Data'!A7:V106,22,FALSE))</f>
        <v>362.5</v>
      </c>
      <c r="C47">
        <v>22</v>
      </c>
      <c r="D47" s="3">
        <v>43957</v>
      </c>
      <c r="E47" s="3">
        <v>44089</v>
      </c>
      <c r="F47">
        <f t="shared" si="0"/>
        <v>340.5</v>
      </c>
    </row>
    <row r="48" spans="1:6" x14ac:dyDescent="0.25">
      <c r="A48">
        <v>21</v>
      </c>
      <c r="B48">
        <f>CalculateVacation(VLOOKUP(A48,'Employee Data'!A7:P106,16,FALSE),VLOOKUP(A48,'Employee Data'!A7:V106,22,FALSE))</f>
        <v>175.5</v>
      </c>
      <c r="C48">
        <v>20</v>
      </c>
      <c r="D48" s="3">
        <v>43667</v>
      </c>
      <c r="E48" s="3">
        <v>43962</v>
      </c>
      <c r="F48">
        <f t="shared" si="0"/>
        <v>155.5</v>
      </c>
    </row>
    <row r="49" spans="1:6" x14ac:dyDescent="0.25">
      <c r="A49">
        <v>70</v>
      </c>
      <c r="B49">
        <f>CalculateVacation(VLOOKUP(A49,'Employee Data'!A7:P106,16,FALSE),VLOOKUP(A49,'Employee Data'!A7:V106,22,FALSE))</f>
        <v>543</v>
      </c>
      <c r="C49">
        <v>2</v>
      </c>
      <c r="D49" s="3">
        <v>44060</v>
      </c>
      <c r="E49" s="3">
        <v>44062</v>
      </c>
      <c r="F49">
        <f t="shared" si="0"/>
        <v>541</v>
      </c>
    </row>
    <row r="50" spans="1:6" x14ac:dyDescent="0.25">
      <c r="A50">
        <v>60</v>
      </c>
      <c r="B50">
        <f>CalculateVacation(VLOOKUP(A50,'Employee Data'!A7:P106,16,FALSE),VLOOKUP(A50,'Employee Data'!A7:V106,22,FALSE))</f>
        <v>0</v>
      </c>
      <c r="C50">
        <v>17</v>
      </c>
      <c r="D50" s="3">
        <v>43856</v>
      </c>
      <c r="E50" s="3">
        <v>44062</v>
      </c>
      <c r="F50">
        <f t="shared" si="0"/>
        <v>-17</v>
      </c>
    </row>
    <row r="51" spans="1:6" x14ac:dyDescent="0.25">
      <c r="A51">
        <v>46</v>
      </c>
      <c r="B51">
        <f>CalculateVacation(VLOOKUP(A51,'Employee Data'!A7:P106,16,FALSE),VLOOKUP(A51,'Employee Data'!A7:V106,22,FALSE))</f>
        <v>50</v>
      </c>
      <c r="C51">
        <v>11</v>
      </c>
      <c r="D51" s="3">
        <v>43495</v>
      </c>
      <c r="E51" s="3">
        <v>43692</v>
      </c>
      <c r="F51">
        <f t="shared" si="0"/>
        <v>39</v>
      </c>
    </row>
    <row r="52" spans="1:6" x14ac:dyDescent="0.25">
      <c r="A52">
        <v>11</v>
      </c>
      <c r="B52">
        <f>CalculateVacation(VLOOKUP(A52,'Employee Data'!A7:P106,16,FALSE),VLOOKUP(A52,'Employee Data'!A7:V106,22,FALSE))</f>
        <v>417.5</v>
      </c>
      <c r="C52">
        <v>17</v>
      </c>
      <c r="D52" s="3">
        <v>43530</v>
      </c>
      <c r="E52" s="3">
        <v>43601</v>
      </c>
      <c r="F52">
        <f t="shared" si="0"/>
        <v>400.5</v>
      </c>
    </row>
    <row r="53" spans="1:6" x14ac:dyDescent="0.25">
      <c r="A53">
        <v>15</v>
      </c>
      <c r="B53">
        <f>CalculateVacation(VLOOKUP(A53,'Employee Data'!A7:P106,16,FALSE),VLOOKUP(A53,'Employee Data'!A7:V106,22,FALSE))</f>
        <v>651</v>
      </c>
      <c r="C53">
        <v>22</v>
      </c>
      <c r="D53" s="3">
        <v>43721</v>
      </c>
      <c r="E53" s="3">
        <v>43731</v>
      </c>
      <c r="F53">
        <f t="shared" si="0"/>
        <v>629</v>
      </c>
    </row>
    <row r="54" spans="1:6" x14ac:dyDescent="0.25">
      <c r="A54">
        <v>17</v>
      </c>
      <c r="B54">
        <f>CalculateVacation(VLOOKUP(A54,'Employee Data'!A7:P106,16,FALSE),VLOOKUP(A54,'Employee Data'!A7:V106,22,FALSE))</f>
        <v>30</v>
      </c>
      <c r="C54">
        <v>30</v>
      </c>
      <c r="D54" s="3">
        <v>43813</v>
      </c>
      <c r="E54" s="3">
        <v>43968</v>
      </c>
      <c r="F54">
        <f t="shared" si="0"/>
        <v>0</v>
      </c>
    </row>
    <row r="55" spans="1:6" x14ac:dyDescent="0.25">
      <c r="A55">
        <v>42</v>
      </c>
      <c r="B55">
        <f>CalculateVacation(VLOOKUP(A55,'Employee Data'!A7:P106,16,FALSE),VLOOKUP(A55,'Employee Data'!A7:V106,22,FALSE))</f>
        <v>669</v>
      </c>
      <c r="C55">
        <v>16</v>
      </c>
      <c r="D55" s="3">
        <v>43488</v>
      </c>
      <c r="E55" s="3">
        <v>43517</v>
      </c>
      <c r="F55">
        <f t="shared" si="0"/>
        <v>653</v>
      </c>
    </row>
    <row r="56" spans="1:6" x14ac:dyDescent="0.25">
      <c r="A56">
        <v>82</v>
      </c>
      <c r="B56">
        <f>CalculateVacation(VLOOKUP(A56,'Employee Data'!A7:P106,16,FALSE),VLOOKUP(A56,'Employee Data'!A7:V106,22,FALSE))</f>
        <v>0</v>
      </c>
      <c r="C56">
        <v>30</v>
      </c>
      <c r="D56" s="3">
        <v>43613</v>
      </c>
      <c r="E56" s="3">
        <v>43991</v>
      </c>
      <c r="F56">
        <f t="shared" si="0"/>
        <v>-30</v>
      </c>
    </row>
    <row r="57" spans="1:6" x14ac:dyDescent="0.25">
      <c r="A57">
        <v>92</v>
      </c>
      <c r="B57">
        <f>CalculateVacation(VLOOKUP(A57,'Employee Data'!A7:P106,16,FALSE),VLOOKUP(A57,'Employee Data'!A7:V106,22,FALSE))</f>
        <v>112.5</v>
      </c>
      <c r="C57">
        <v>16</v>
      </c>
      <c r="D57" s="3">
        <v>43884</v>
      </c>
      <c r="E57" s="3">
        <v>43884</v>
      </c>
      <c r="F57">
        <f t="shared" si="0"/>
        <v>96.5</v>
      </c>
    </row>
    <row r="58" spans="1:6" x14ac:dyDescent="0.25">
      <c r="A58">
        <v>73</v>
      </c>
      <c r="B58">
        <f>CalculateVacation(VLOOKUP(A58,'Employee Data'!A7:P106,16,FALSE),VLOOKUP(A58,'Employee Data'!A7:V106,22,FALSE))</f>
        <v>105</v>
      </c>
      <c r="C58">
        <v>26</v>
      </c>
      <c r="D58" s="3">
        <v>43505</v>
      </c>
      <c r="E58" s="3">
        <v>43811</v>
      </c>
      <c r="F58">
        <f t="shared" si="0"/>
        <v>79</v>
      </c>
    </row>
    <row r="59" spans="1:6" x14ac:dyDescent="0.25">
      <c r="A59">
        <v>95</v>
      </c>
      <c r="B59">
        <f>CalculateVacation(VLOOKUP(A59,'Employee Data'!A7:P106,16,FALSE),VLOOKUP(A59,'Employee Data'!A7:V106,22,FALSE))</f>
        <v>618</v>
      </c>
      <c r="C59">
        <v>23</v>
      </c>
      <c r="D59" s="3">
        <v>43776</v>
      </c>
      <c r="E59" s="3">
        <v>43779</v>
      </c>
      <c r="F59">
        <f t="shared" si="0"/>
        <v>595</v>
      </c>
    </row>
    <row r="60" spans="1:6" x14ac:dyDescent="0.25">
      <c r="A60">
        <v>8</v>
      </c>
      <c r="B60">
        <f>CalculateVacation(VLOOKUP(A60,'Employee Data'!A7:P106,16,FALSE),VLOOKUP(A60,'Employee Data'!A7:V106,22,FALSE))</f>
        <v>588</v>
      </c>
      <c r="C60">
        <v>4</v>
      </c>
      <c r="D60" s="3">
        <v>43925</v>
      </c>
      <c r="E60" s="3">
        <v>44080</v>
      </c>
      <c r="F60">
        <f t="shared" si="0"/>
        <v>584</v>
      </c>
    </row>
    <row r="61" spans="1:6" x14ac:dyDescent="0.25">
      <c r="A61">
        <v>18</v>
      </c>
      <c r="B61">
        <f>CalculateVacation(VLOOKUP(A61,'Employee Data'!A7:P106,16,FALSE),VLOOKUP(A61,'Employee Data'!A7:V106,22,FALSE))</f>
        <v>603</v>
      </c>
      <c r="C61">
        <v>30</v>
      </c>
      <c r="D61" s="3">
        <v>43935</v>
      </c>
      <c r="E61" s="3">
        <v>43938</v>
      </c>
      <c r="F61">
        <f t="shared" si="0"/>
        <v>573</v>
      </c>
    </row>
    <row r="62" spans="1:6" x14ac:dyDescent="0.25">
      <c r="A62">
        <v>59</v>
      </c>
      <c r="B62">
        <f>CalculateVacation(VLOOKUP(A62,'Employee Data'!A7:P106,16,FALSE),VLOOKUP(A62,'Employee Data'!A7:V106,22,FALSE))</f>
        <v>54</v>
      </c>
      <c r="C62">
        <v>25</v>
      </c>
      <c r="D62" s="3">
        <v>43800</v>
      </c>
      <c r="E62" s="3">
        <v>43808</v>
      </c>
      <c r="F62">
        <f t="shared" si="0"/>
        <v>29</v>
      </c>
    </row>
    <row r="63" spans="1:6" x14ac:dyDescent="0.25">
      <c r="A63">
        <v>66</v>
      </c>
      <c r="B63">
        <f>CalculateVacation(VLOOKUP(A63,'Employee Data'!A7:P106,16,FALSE),VLOOKUP(A63,'Employee Data'!A7:V106,22,FALSE))</f>
        <v>0</v>
      </c>
      <c r="C63">
        <v>27</v>
      </c>
      <c r="D63" s="3">
        <v>43497</v>
      </c>
      <c r="E63" s="3">
        <v>43527</v>
      </c>
      <c r="F63">
        <f t="shared" si="0"/>
        <v>-27</v>
      </c>
    </row>
    <row r="64" spans="1:6" x14ac:dyDescent="0.25">
      <c r="A64">
        <v>52</v>
      </c>
      <c r="B64">
        <f>CalculateVacation(VLOOKUP(A64,'Employee Data'!A7:P106,16,FALSE),VLOOKUP(A64,'Employee Data'!A7:V106,22,FALSE))</f>
        <v>8</v>
      </c>
      <c r="C64">
        <v>2</v>
      </c>
      <c r="D64" s="3">
        <v>43475</v>
      </c>
      <c r="E64" s="3">
        <v>43674</v>
      </c>
      <c r="F64">
        <f t="shared" si="0"/>
        <v>6</v>
      </c>
    </row>
    <row r="65" spans="1:6" x14ac:dyDescent="0.25">
      <c r="A65">
        <v>89</v>
      </c>
      <c r="B65">
        <f>CalculateVacation(VLOOKUP(A65,'Employee Data'!A7:P106,16,FALSE),VLOOKUP(A65,'Employee Data'!A7:V106,22,FALSE))</f>
        <v>126</v>
      </c>
      <c r="C65">
        <v>25</v>
      </c>
      <c r="D65" s="3">
        <v>43478</v>
      </c>
      <c r="E65" s="3">
        <v>43697</v>
      </c>
      <c r="F65">
        <f t="shared" si="0"/>
        <v>101</v>
      </c>
    </row>
    <row r="66" spans="1:6" x14ac:dyDescent="0.25">
      <c r="A66">
        <v>51</v>
      </c>
      <c r="B66">
        <f>CalculateVacation(VLOOKUP(A66,'Employee Data'!A7:P106,16,FALSE),VLOOKUP(A66,'Employee Data'!A7:V106,22,FALSE))</f>
        <v>0</v>
      </c>
      <c r="C66">
        <v>9</v>
      </c>
      <c r="D66" s="3">
        <v>43898</v>
      </c>
      <c r="E66" s="3">
        <v>44086</v>
      </c>
      <c r="F66">
        <f t="shared" si="0"/>
        <v>-9</v>
      </c>
    </row>
    <row r="67" spans="1:6" x14ac:dyDescent="0.25">
      <c r="A67">
        <v>26</v>
      </c>
      <c r="B67">
        <f>CalculateVacation(VLOOKUP(A67,'Employee Data'!A7:P106,16,FALSE),VLOOKUP(A67,'Employee Data'!A7:V106,22,FALSE))</f>
        <v>12.75</v>
      </c>
      <c r="C67">
        <v>24</v>
      </c>
      <c r="D67" s="3">
        <v>43635</v>
      </c>
      <c r="E67" s="3">
        <v>43809</v>
      </c>
      <c r="F67">
        <f t="shared" si="0"/>
        <v>-11.25</v>
      </c>
    </row>
    <row r="68" spans="1:6" x14ac:dyDescent="0.25">
      <c r="A68">
        <v>36</v>
      </c>
      <c r="B68">
        <f>CalculateVacation(VLOOKUP(A68,'Employee Data'!A7:P106,16,FALSE),VLOOKUP(A68,'Employee Data'!A7:V106,22,FALSE))</f>
        <v>675</v>
      </c>
      <c r="C68">
        <v>3</v>
      </c>
      <c r="D68" s="3">
        <v>43756</v>
      </c>
      <c r="E68" s="3">
        <v>43765</v>
      </c>
      <c r="F68">
        <f t="shared" si="0"/>
        <v>672</v>
      </c>
    </row>
    <row r="69" spans="1:6" x14ac:dyDescent="0.25">
      <c r="A69">
        <v>13</v>
      </c>
      <c r="B69">
        <f>CalculateVacation(VLOOKUP(A69,'Employee Data'!A7:P106,16,FALSE),VLOOKUP(A69,'Employee Data'!A7:V106,22,FALSE))</f>
        <v>633</v>
      </c>
      <c r="C69">
        <v>12</v>
      </c>
      <c r="D69" s="3">
        <v>43999</v>
      </c>
      <c r="E69" s="3">
        <v>44042</v>
      </c>
      <c r="F69">
        <f t="shared" si="0"/>
        <v>621</v>
      </c>
    </row>
    <row r="70" spans="1:6" x14ac:dyDescent="0.25">
      <c r="A70">
        <v>42</v>
      </c>
      <c r="B70">
        <f>CalculateVacation(VLOOKUP(A70,'Employee Data'!A7:P106,16,FALSE),VLOOKUP(A70,'Employee Data'!A7:V106,22,FALSE))</f>
        <v>669</v>
      </c>
      <c r="C70">
        <v>15</v>
      </c>
      <c r="D70" s="3">
        <v>43705</v>
      </c>
      <c r="E70" s="3">
        <v>43753</v>
      </c>
      <c r="F70">
        <f t="shared" si="0"/>
        <v>654</v>
      </c>
    </row>
    <row r="71" spans="1:6" x14ac:dyDescent="0.25">
      <c r="A71">
        <v>80</v>
      </c>
      <c r="B71">
        <f>CalculateVacation(VLOOKUP(A71,'Employee Data'!A7:P106,16,FALSE),VLOOKUP(A71,'Employee Data'!A7:V106,22,FALSE))</f>
        <v>254</v>
      </c>
      <c r="C71">
        <v>19</v>
      </c>
      <c r="D71" s="3">
        <v>44027</v>
      </c>
      <c r="E71" s="3">
        <v>44033</v>
      </c>
      <c r="F71">
        <f t="shared" si="0"/>
        <v>235</v>
      </c>
    </row>
    <row r="72" spans="1:6" x14ac:dyDescent="0.25">
      <c r="A72">
        <v>13</v>
      </c>
      <c r="B72">
        <f>CalculateVacation(VLOOKUP(A72,'Employee Data'!A7:P106,16,FALSE),VLOOKUP(A72,'Employee Data'!A7:V106,22,FALSE))</f>
        <v>633</v>
      </c>
      <c r="C72">
        <v>4</v>
      </c>
      <c r="D72" s="3">
        <v>43706</v>
      </c>
      <c r="E72" s="3">
        <v>43952</v>
      </c>
      <c r="F72">
        <f t="shared" ref="F72:F135" si="1">B72-C72</f>
        <v>629</v>
      </c>
    </row>
    <row r="73" spans="1:6" x14ac:dyDescent="0.25">
      <c r="A73">
        <v>85</v>
      </c>
      <c r="B73">
        <f>CalculateVacation(VLOOKUP(A73,'Employee Data'!A7:P106,16,FALSE),VLOOKUP(A73,'Employee Data'!A7:V106,22,FALSE))</f>
        <v>636</v>
      </c>
      <c r="C73">
        <v>23</v>
      </c>
      <c r="D73" s="3">
        <v>43748</v>
      </c>
      <c r="E73" s="3">
        <v>43756</v>
      </c>
      <c r="F73">
        <f t="shared" si="1"/>
        <v>613</v>
      </c>
    </row>
    <row r="74" spans="1:6" x14ac:dyDescent="0.25">
      <c r="A74">
        <v>46</v>
      </c>
      <c r="B74">
        <f>CalculateVacation(VLOOKUP(A74,'Employee Data'!A7:P106,16,FALSE),VLOOKUP(A74,'Employee Data'!A7:V106,22,FALSE))</f>
        <v>50</v>
      </c>
      <c r="C74">
        <v>27</v>
      </c>
      <c r="D74" s="3">
        <v>43918</v>
      </c>
      <c r="E74" s="3">
        <v>43944</v>
      </c>
      <c r="F74">
        <f t="shared" si="1"/>
        <v>23</v>
      </c>
    </row>
    <row r="75" spans="1:6" x14ac:dyDescent="0.25">
      <c r="A75">
        <v>54</v>
      </c>
      <c r="B75">
        <f>CalculateVacation(VLOOKUP(A75,'Employee Data'!A7:P106,16,FALSE),VLOOKUP(A75,'Employee Data'!A7:V106,22,FALSE))</f>
        <v>145.5</v>
      </c>
      <c r="C75">
        <v>29</v>
      </c>
      <c r="D75" s="3">
        <v>43773</v>
      </c>
      <c r="E75" s="3">
        <v>44086</v>
      </c>
      <c r="F75">
        <f t="shared" si="1"/>
        <v>116.5</v>
      </c>
    </row>
    <row r="76" spans="1:6" x14ac:dyDescent="0.25">
      <c r="A76">
        <v>71</v>
      </c>
      <c r="B76">
        <f>CalculateVacation(VLOOKUP(A76,'Employee Data'!A7:P106,16,FALSE),VLOOKUP(A76,'Employee Data'!A7:V106,22,FALSE))</f>
        <v>117</v>
      </c>
      <c r="C76">
        <v>1</v>
      </c>
      <c r="D76" s="3">
        <v>44049</v>
      </c>
      <c r="E76" s="3">
        <v>44052</v>
      </c>
      <c r="F76">
        <f t="shared" si="1"/>
        <v>116</v>
      </c>
    </row>
    <row r="77" spans="1:6" x14ac:dyDescent="0.25">
      <c r="A77">
        <v>1</v>
      </c>
      <c r="B77">
        <f>CalculateVacation(VLOOKUP(A77,'Employee Data'!A7:P106,16,FALSE),VLOOKUP(A77,'Employee Data'!A7:V106,22,FALSE))</f>
        <v>244</v>
      </c>
      <c r="C77">
        <v>16</v>
      </c>
      <c r="D77" s="3">
        <v>43506</v>
      </c>
      <c r="E77" s="3">
        <v>43572</v>
      </c>
      <c r="F77">
        <f t="shared" si="1"/>
        <v>228</v>
      </c>
    </row>
    <row r="78" spans="1:6" x14ac:dyDescent="0.25">
      <c r="A78">
        <v>73</v>
      </c>
      <c r="B78">
        <f>CalculateVacation(VLOOKUP(A78,'Employee Data'!A7:P106,16,FALSE),VLOOKUP(A78,'Employee Data'!A7:V106,22,FALSE))</f>
        <v>105</v>
      </c>
      <c r="C78">
        <v>28</v>
      </c>
      <c r="D78" s="3">
        <v>43983</v>
      </c>
      <c r="E78" s="3">
        <v>44047</v>
      </c>
      <c r="F78">
        <f t="shared" si="1"/>
        <v>77</v>
      </c>
    </row>
    <row r="79" spans="1:6" x14ac:dyDescent="0.25">
      <c r="A79">
        <v>55</v>
      </c>
      <c r="B79">
        <f>CalculateVacation(VLOOKUP(A79,'Employee Data'!A7:P106,16,FALSE),VLOOKUP(A79,'Employee Data'!A7:V106,22,FALSE))</f>
        <v>0</v>
      </c>
      <c r="C79">
        <v>19</v>
      </c>
      <c r="D79" s="3">
        <v>43890</v>
      </c>
      <c r="E79" s="3">
        <v>44068</v>
      </c>
      <c r="F79">
        <f t="shared" si="1"/>
        <v>-19</v>
      </c>
    </row>
    <row r="80" spans="1:6" x14ac:dyDescent="0.25">
      <c r="A80">
        <v>65</v>
      </c>
      <c r="B80">
        <f>CalculateVacation(VLOOKUP(A80,'Employee Data'!A7:P106,16,FALSE),VLOOKUP(A80,'Employee Data'!A7:V106,22,FALSE))</f>
        <v>112.5</v>
      </c>
      <c r="C80">
        <v>27</v>
      </c>
      <c r="D80" s="3">
        <v>43823</v>
      </c>
      <c r="E80" s="3">
        <v>43833</v>
      </c>
      <c r="F80">
        <f t="shared" si="1"/>
        <v>85.5</v>
      </c>
    </row>
    <row r="81" spans="1:6" x14ac:dyDescent="0.25">
      <c r="A81">
        <v>87</v>
      </c>
      <c r="B81">
        <f>CalculateVacation(VLOOKUP(A81,'Employee Data'!A7:P106,16,FALSE),VLOOKUP(A81,'Employee Data'!A7:V106,22,FALSE))</f>
        <v>537</v>
      </c>
      <c r="C81">
        <v>14</v>
      </c>
      <c r="D81" s="3">
        <v>43692</v>
      </c>
      <c r="E81" s="3">
        <v>43694</v>
      </c>
      <c r="F81">
        <f t="shared" si="1"/>
        <v>523</v>
      </c>
    </row>
    <row r="82" spans="1:6" x14ac:dyDescent="0.25">
      <c r="A82">
        <v>15</v>
      </c>
      <c r="B82">
        <f>CalculateVacation(VLOOKUP(A82,'Employee Data'!A7:P106,16,FALSE),VLOOKUP(A82,'Employee Data'!A7:V106,22,FALSE))</f>
        <v>651</v>
      </c>
      <c r="C82">
        <v>24</v>
      </c>
      <c r="D82" s="3">
        <v>44043</v>
      </c>
      <c r="E82" s="3">
        <v>44051</v>
      </c>
      <c r="F82">
        <f t="shared" si="1"/>
        <v>627</v>
      </c>
    </row>
    <row r="83" spans="1:6" x14ac:dyDescent="0.25">
      <c r="A83">
        <v>71</v>
      </c>
      <c r="B83">
        <f>CalculateVacation(VLOOKUP(A83,'Employee Data'!A7:P106,16,FALSE),VLOOKUP(A83,'Employee Data'!A7:V106,22,FALSE))</f>
        <v>117</v>
      </c>
      <c r="C83">
        <v>27</v>
      </c>
      <c r="D83" s="3">
        <v>43578</v>
      </c>
      <c r="E83" s="3">
        <v>43987</v>
      </c>
      <c r="F83">
        <f t="shared" si="1"/>
        <v>90</v>
      </c>
    </row>
    <row r="84" spans="1:6" x14ac:dyDescent="0.25">
      <c r="A84">
        <v>32</v>
      </c>
      <c r="B84">
        <f>CalculateVacation(VLOOKUP(A84,'Employee Data'!A7:P106,16,FALSE),VLOOKUP(A84,'Employee Data'!A7:V106,22,FALSE))</f>
        <v>238</v>
      </c>
      <c r="C84">
        <v>10</v>
      </c>
      <c r="D84" s="3">
        <v>43758</v>
      </c>
      <c r="E84" s="3">
        <v>43877</v>
      </c>
      <c r="F84">
        <f t="shared" si="1"/>
        <v>228</v>
      </c>
    </row>
    <row r="85" spans="1:6" x14ac:dyDescent="0.25">
      <c r="A85">
        <v>15</v>
      </c>
      <c r="B85">
        <f>CalculateVacation(VLOOKUP(A85,'Employee Data'!A7:P106,16,FALSE),VLOOKUP(A85,'Employee Data'!A7:V106,22,FALSE))</f>
        <v>651</v>
      </c>
      <c r="C85">
        <v>15</v>
      </c>
      <c r="D85" s="3">
        <v>43919</v>
      </c>
      <c r="E85" s="3">
        <v>43926</v>
      </c>
      <c r="F85">
        <f t="shared" si="1"/>
        <v>636</v>
      </c>
    </row>
    <row r="86" spans="1:6" x14ac:dyDescent="0.25">
      <c r="A86">
        <v>97</v>
      </c>
      <c r="B86">
        <f>CalculateVacation(VLOOKUP(A86,'Employee Data'!A7:P106,16,FALSE),VLOOKUP(A86,'Employee Data'!A7:V106,22,FALSE))</f>
        <v>355</v>
      </c>
      <c r="C86">
        <v>19</v>
      </c>
      <c r="D86" s="3">
        <v>43770</v>
      </c>
      <c r="E86" s="3">
        <v>43797</v>
      </c>
      <c r="F86">
        <f t="shared" si="1"/>
        <v>336</v>
      </c>
    </row>
    <row r="87" spans="1:6" x14ac:dyDescent="0.25">
      <c r="A87">
        <v>12</v>
      </c>
      <c r="B87">
        <f>CalculateVacation(VLOOKUP(A87,'Employee Data'!A7:P106,16,FALSE),VLOOKUP(A87,'Employee Data'!A7:V106,22,FALSE))</f>
        <v>636</v>
      </c>
      <c r="C87">
        <v>7</v>
      </c>
      <c r="D87" s="3">
        <v>43829</v>
      </c>
      <c r="E87" s="3">
        <v>44052</v>
      </c>
      <c r="F87">
        <f t="shared" si="1"/>
        <v>629</v>
      </c>
    </row>
    <row r="88" spans="1:6" x14ac:dyDescent="0.25">
      <c r="A88">
        <v>51</v>
      </c>
      <c r="B88">
        <f>CalculateVacation(VLOOKUP(A88,'Employee Data'!A7:P106,16,FALSE),VLOOKUP(A88,'Employee Data'!A7:V106,22,FALSE))</f>
        <v>0</v>
      </c>
      <c r="C88">
        <v>19</v>
      </c>
      <c r="D88" s="3">
        <v>43946</v>
      </c>
      <c r="E88" s="3">
        <v>43951</v>
      </c>
      <c r="F88">
        <f t="shared" si="1"/>
        <v>-19</v>
      </c>
    </row>
    <row r="89" spans="1:6" x14ac:dyDescent="0.25">
      <c r="A89">
        <v>88</v>
      </c>
      <c r="B89">
        <f>CalculateVacation(VLOOKUP(A89,'Employee Data'!A7:P106,16,FALSE),VLOOKUP(A89,'Employee Data'!A7:V106,22,FALSE))</f>
        <v>390</v>
      </c>
      <c r="C89">
        <v>25</v>
      </c>
      <c r="D89" s="3">
        <v>43861</v>
      </c>
      <c r="E89" s="3">
        <v>43864</v>
      </c>
      <c r="F89">
        <f t="shared" si="1"/>
        <v>365</v>
      </c>
    </row>
    <row r="90" spans="1:6" x14ac:dyDescent="0.25">
      <c r="A90">
        <v>55</v>
      </c>
      <c r="B90">
        <f>CalculateVacation(VLOOKUP(A90,'Employee Data'!A7:P106,16,FALSE),VLOOKUP(A90,'Employee Data'!A7:V106,22,FALSE))</f>
        <v>0</v>
      </c>
      <c r="C90">
        <v>9</v>
      </c>
      <c r="D90" s="3">
        <v>43562</v>
      </c>
      <c r="E90" s="3">
        <v>44027</v>
      </c>
      <c r="F90">
        <f t="shared" si="1"/>
        <v>-9</v>
      </c>
    </row>
    <row r="91" spans="1:6" x14ac:dyDescent="0.25">
      <c r="A91">
        <v>40</v>
      </c>
      <c r="B91">
        <f>CalculateVacation(VLOOKUP(A91,'Employee Data'!A7:P106,16,FALSE),VLOOKUP(A91,'Employee Data'!A7:V106,22,FALSE))</f>
        <v>672</v>
      </c>
      <c r="C91">
        <v>25</v>
      </c>
      <c r="D91" s="3">
        <v>43656</v>
      </c>
      <c r="E91" s="3">
        <v>43663</v>
      </c>
      <c r="F91">
        <f t="shared" si="1"/>
        <v>647</v>
      </c>
    </row>
    <row r="92" spans="1:6" x14ac:dyDescent="0.25">
      <c r="A92">
        <v>67</v>
      </c>
      <c r="B92">
        <f>CalculateVacation(VLOOKUP(A92,'Employee Data'!A7:P106,16,FALSE),VLOOKUP(A92,'Employee Data'!A7:V106,22,FALSE))</f>
        <v>20</v>
      </c>
      <c r="C92">
        <v>29</v>
      </c>
      <c r="D92" s="3">
        <v>43830</v>
      </c>
      <c r="E92" s="3">
        <v>43837</v>
      </c>
      <c r="F92">
        <f t="shared" si="1"/>
        <v>-9</v>
      </c>
    </row>
    <row r="93" spans="1:6" x14ac:dyDescent="0.25">
      <c r="A93">
        <v>42</v>
      </c>
      <c r="B93">
        <f>CalculateVacation(VLOOKUP(A93,'Employee Data'!A7:P106,16,FALSE),VLOOKUP(A93,'Employee Data'!A7:V106,22,FALSE))</f>
        <v>669</v>
      </c>
      <c r="C93">
        <v>21</v>
      </c>
      <c r="D93" s="3">
        <v>43820</v>
      </c>
      <c r="E93" s="3">
        <v>43821</v>
      </c>
      <c r="F93">
        <f t="shared" si="1"/>
        <v>648</v>
      </c>
    </row>
    <row r="94" spans="1:6" x14ac:dyDescent="0.25">
      <c r="A94">
        <v>55</v>
      </c>
      <c r="B94">
        <f>CalculateVacation(VLOOKUP(A94,'Employee Data'!A7:P106,16,FALSE),VLOOKUP(A94,'Employee Data'!A7:V106,22,FALSE))</f>
        <v>0</v>
      </c>
      <c r="C94">
        <v>1</v>
      </c>
      <c r="D94" s="3">
        <v>43644</v>
      </c>
      <c r="E94" s="3">
        <v>43650</v>
      </c>
      <c r="F94">
        <f t="shared" si="1"/>
        <v>-1</v>
      </c>
    </row>
    <row r="95" spans="1:6" x14ac:dyDescent="0.25">
      <c r="A95">
        <v>55</v>
      </c>
      <c r="B95">
        <f>CalculateVacation(VLOOKUP(A95,'Employee Data'!A7:P106,16,FALSE),VLOOKUP(A95,'Employee Data'!A7:V106,22,FALSE))</f>
        <v>0</v>
      </c>
      <c r="C95">
        <v>18</v>
      </c>
      <c r="D95" s="3">
        <v>43676</v>
      </c>
      <c r="E95" s="3">
        <v>43679</v>
      </c>
      <c r="F95">
        <f t="shared" si="1"/>
        <v>-18</v>
      </c>
    </row>
    <row r="96" spans="1:6" x14ac:dyDescent="0.25">
      <c r="A96">
        <v>34</v>
      </c>
      <c r="B96">
        <f>CalculateVacation(VLOOKUP(A96,'Employee Data'!A7:P106,16,FALSE),VLOOKUP(A96,'Employee Data'!A7:V106,22,FALSE))</f>
        <v>591</v>
      </c>
      <c r="C96">
        <v>18</v>
      </c>
      <c r="D96" s="3">
        <v>44095</v>
      </c>
      <c r="E96" s="3">
        <v>44098</v>
      </c>
      <c r="F96">
        <f t="shared" si="1"/>
        <v>573</v>
      </c>
    </row>
    <row r="97" spans="1:6" x14ac:dyDescent="0.25">
      <c r="A97">
        <v>61</v>
      </c>
      <c r="B97">
        <f>CalculateVacation(VLOOKUP(A97,'Employee Data'!A7:P106,16,FALSE),VLOOKUP(A97,'Employee Data'!A7:V106,22,FALSE))</f>
        <v>126</v>
      </c>
      <c r="C97">
        <v>3</v>
      </c>
      <c r="D97" s="3">
        <v>43717</v>
      </c>
      <c r="E97" s="3">
        <v>43718</v>
      </c>
      <c r="F97">
        <f t="shared" si="1"/>
        <v>123</v>
      </c>
    </row>
    <row r="98" spans="1:6" x14ac:dyDescent="0.25">
      <c r="A98">
        <v>63</v>
      </c>
      <c r="B98">
        <f>CalculateVacation(VLOOKUP(A98,'Employee Data'!A7:P106,16,FALSE),VLOOKUP(A98,'Employee Data'!A7:V106,22,FALSE))</f>
        <v>246</v>
      </c>
      <c r="C98">
        <v>8</v>
      </c>
      <c r="D98" s="3">
        <v>43865</v>
      </c>
      <c r="E98" s="3">
        <v>43866</v>
      </c>
      <c r="F98">
        <f t="shared" si="1"/>
        <v>238</v>
      </c>
    </row>
    <row r="99" spans="1:6" x14ac:dyDescent="0.25">
      <c r="A99">
        <v>91</v>
      </c>
      <c r="B99">
        <f>CalculateVacation(VLOOKUP(A99,'Employee Data'!A7:P106,16,FALSE),VLOOKUP(A99,'Employee Data'!A7:V106,22,FALSE))</f>
        <v>40.5</v>
      </c>
      <c r="C99">
        <v>1</v>
      </c>
      <c r="D99" s="3">
        <v>43721</v>
      </c>
      <c r="E99" s="3">
        <v>43840</v>
      </c>
      <c r="F99">
        <f t="shared" si="1"/>
        <v>39.5</v>
      </c>
    </row>
    <row r="100" spans="1:6" x14ac:dyDescent="0.25">
      <c r="A100">
        <v>10</v>
      </c>
      <c r="B100">
        <f>CalculateVacation(VLOOKUP(A100,'Employee Data'!A7:P106,16,FALSE),VLOOKUP(A100,'Employee Data'!A7:V106,22,FALSE))</f>
        <v>150</v>
      </c>
      <c r="C100">
        <v>26</v>
      </c>
      <c r="D100" s="3">
        <v>43667</v>
      </c>
      <c r="E100" s="3">
        <v>43677</v>
      </c>
      <c r="F100">
        <f t="shared" si="1"/>
        <v>124</v>
      </c>
    </row>
    <row r="101" spans="1:6" x14ac:dyDescent="0.25">
      <c r="A101">
        <v>35</v>
      </c>
      <c r="B101">
        <f>CalculateVacation(VLOOKUP(A101,'Employee Data'!A7:P106,16,FALSE),VLOOKUP(A101,'Employee Data'!A7:V106,22,FALSE))</f>
        <v>555</v>
      </c>
      <c r="C101">
        <v>13</v>
      </c>
      <c r="D101" s="3">
        <v>44087</v>
      </c>
      <c r="E101" s="3">
        <v>44090</v>
      </c>
      <c r="F101">
        <f t="shared" si="1"/>
        <v>542</v>
      </c>
    </row>
    <row r="102" spans="1:6" x14ac:dyDescent="0.25">
      <c r="A102">
        <v>14</v>
      </c>
      <c r="B102">
        <f>CalculateVacation(VLOOKUP(A102,'Employee Data'!A7:P106,16,FALSE),VLOOKUP(A102,'Employee Data'!A7:V106,22,FALSE))</f>
        <v>0</v>
      </c>
      <c r="C102">
        <v>10</v>
      </c>
      <c r="D102" s="3">
        <v>43572</v>
      </c>
      <c r="E102" s="3">
        <v>43579</v>
      </c>
      <c r="F102">
        <f t="shared" si="1"/>
        <v>-10</v>
      </c>
    </row>
    <row r="103" spans="1:6" x14ac:dyDescent="0.25">
      <c r="A103">
        <v>7</v>
      </c>
      <c r="B103">
        <f>CalculateVacation(VLOOKUP(A103,'Employee Data'!A7:P106,16,FALSE),VLOOKUP(A103,'Employee Data'!A7:V106,22,FALSE))</f>
        <v>642</v>
      </c>
      <c r="C103">
        <v>6</v>
      </c>
      <c r="D103" s="3">
        <v>44083</v>
      </c>
      <c r="E103" s="3">
        <v>44096</v>
      </c>
      <c r="F103">
        <f t="shared" si="1"/>
        <v>636</v>
      </c>
    </row>
    <row r="104" spans="1:6" x14ac:dyDescent="0.25">
      <c r="A104">
        <v>87</v>
      </c>
      <c r="B104">
        <f>CalculateVacation(VLOOKUP(A104,'Employee Data'!A7:P106,16,FALSE),VLOOKUP(A104,'Employee Data'!A7:V106,22,FALSE))</f>
        <v>537</v>
      </c>
      <c r="C104">
        <v>20</v>
      </c>
      <c r="D104" s="3">
        <v>43910</v>
      </c>
      <c r="E104" s="3">
        <v>43912</v>
      </c>
      <c r="F104">
        <f t="shared" si="1"/>
        <v>517</v>
      </c>
    </row>
    <row r="105" spans="1:6" x14ac:dyDescent="0.25">
      <c r="A105">
        <v>29</v>
      </c>
      <c r="B105">
        <f>CalculateVacation(VLOOKUP(A105,'Employee Data'!A7:P106,16,FALSE),VLOOKUP(A105,'Employee Data'!A7:V106,22,FALSE))</f>
        <v>412.5</v>
      </c>
      <c r="C105">
        <v>4</v>
      </c>
      <c r="D105" s="3">
        <v>44044</v>
      </c>
      <c r="E105" s="3">
        <v>44051</v>
      </c>
      <c r="F105">
        <f t="shared" si="1"/>
        <v>408.5</v>
      </c>
    </row>
    <row r="106" spans="1:6" x14ac:dyDescent="0.25">
      <c r="A106">
        <v>44</v>
      </c>
      <c r="B106">
        <f>CalculateVacation(VLOOKUP(A106,'Employee Data'!A7:P106,16,FALSE),VLOOKUP(A106,'Employee Data'!A7:V106,22,FALSE))</f>
        <v>432.5</v>
      </c>
      <c r="C106">
        <v>23</v>
      </c>
      <c r="D106" s="3">
        <v>43670</v>
      </c>
      <c r="E106" s="3">
        <v>43839</v>
      </c>
      <c r="F106">
        <f t="shared" si="1"/>
        <v>409.5</v>
      </c>
    </row>
    <row r="107" spans="1:6" x14ac:dyDescent="0.25">
      <c r="A107">
        <v>30</v>
      </c>
      <c r="B107">
        <f>CalculateVacation(VLOOKUP(A107,'Employee Data'!A7:P106,16,FALSE),VLOOKUP(A107,'Employee Data'!A7:V106,22,FALSE))</f>
        <v>138</v>
      </c>
      <c r="C107">
        <v>5</v>
      </c>
      <c r="D107" s="3">
        <v>43718</v>
      </c>
      <c r="E107" s="3">
        <v>43738</v>
      </c>
      <c r="F107">
        <f t="shared" si="1"/>
        <v>133</v>
      </c>
    </row>
    <row r="108" spans="1:6" x14ac:dyDescent="0.25">
      <c r="A108">
        <v>81</v>
      </c>
      <c r="B108">
        <f>CalculateVacation(VLOOKUP(A108,'Employee Data'!A7:P106,16,FALSE),VLOOKUP(A108,'Employee Data'!A7:V106,22,FALSE))</f>
        <v>410</v>
      </c>
      <c r="C108">
        <v>27</v>
      </c>
      <c r="D108" s="3">
        <v>44056</v>
      </c>
      <c r="E108" s="3">
        <v>44063</v>
      </c>
      <c r="F108">
        <f t="shared" si="1"/>
        <v>383</v>
      </c>
    </row>
    <row r="109" spans="1:6" x14ac:dyDescent="0.25">
      <c r="A109">
        <v>52</v>
      </c>
      <c r="B109">
        <f>CalculateVacation(VLOOKUP(A109,'Employee Data'!A7:P106,16,FALSE),VLOOKUP(A109,'Employee Data'!A7:V106,22,FALSE))</f>
        <v>8</v>
      </c>
      <c r="C109">
        <v>11</v>
      </c>
      <c r="D109" s="3">
        <v>43786</v>
      </c>
      <c r="E109" s="3">
        <v>43794</v>
      </c>
      <c r="F109">
        <f t="shared" si="1"/>
        <v>-3</v>
      </c>
    </row>
    <row r="110" spans="1:6" x14ac:dyDescent="0.25">
      <c r="A110">
        <v>31</v>
      </c>
      <c r="B110">
        <f>CalculateVacation(VLOOKUP(A110,'Employee Data'!A7:P106,16,FALSE),VLOOKUP(A110,'Employee Data'!A7:V106,22,FALSE))</f>
        <v>570</v>
      </c>
      <c r="C110">
        <v>3</v>
      </c>
      <c r="D110" s="3">
        <v>43481</v>
      </c>
      <c r="E110" s="3">
        <v>43865</v>
      </c>
      <c r="F110">
        <f t="shared" si="1"/>
        <v>567</v>
      </c>
    </row>
    <row r="111" spans="1:6" x14ac:dyDescent="0.25">
      <c r="A111">
        <v>52</v>
      </c>
      <c r="B111">
        <f>CalculateVacation(VLOOKUP(A111,'Employee Data'!A7:P106,16,FALSE),VLOOKUP(A111,'Employee Data'!A7:V106,22,FALSE))</f>
        <v>8</v>
      </c>
      <c r="C111">
        <v>12</v>
      </c>
      <c r="D111" s="3">
        <v>43854</v>
      </c>
      <c r="E111" s="3">
        <v>43857</v>
      </c>
      <c r="F111">
        <f t="shared" si="1"/>
        <v>-4</v>
      </c>
    </row>
    <row r="112" spans="1:6" x14ac:dyDescent="0.25">
      <c r="A112">
        <v>9</v>
      </c>
      <c r="B112">
        <f>CalculateVacation(VLOOKUP(A112,'Employee Data'!A7:P106,16,FALSE),VLOOKUP(A112,'Employee Data'!A7:V106,22,FALSE))</f>
        <v>36</v>
      </c>
      <c r="C112">
        <v>8</v>
      </c>
      <c r="D112" s="3">
        <v>43553</v>
      </c>
      <c r="E112" s="3">
        <v>43566</v>
      </c>
      <c r="F112">
        <f t="shared" si="1"/>
        <v>28</v>
      </c>
    </row>
    <row r="113" spans="1:6" x14ac:dyDescent="0.25">
      <c r="A113">
        <v>81</v>
      </c>
      <c r="B113">
        <f>CalculateVacation(VLOOKUP(A113,'Employee Data'!A7:P106,16,FALSE),VLOOKUP(A113,'Employee Data'!A7:V106,22,FALSE))</f>
        <v>410</v>
      </c>
      <c r="C113">
        <v>27</v>
      </c>
      <c r="D113" s="3">
        <v>44020</v>
      </c>
      <c r="E113" s="3">
        <v>44024</v>
      </c>
      <c r="F113">
        <f t="shared" si="1"/>
        <v>383</v>
      </c>
    </row>
    <row r="114" spans="1:6" x14ac:dyDescent="0.25">
      <c r="A114">
        <v>10</v>
      </c>
      <c r="B114">
        <f>CalculateVacation(VLOOKUP(A114,'Employee Data'!A7:P106,16,FALSE),VLOOKUP(A114,'Employee Data'!A7:V106,22,FALSE))</f>
        <v>150</v>
      </c>
      <c r="C114">
        <v>23</v>
      </c>
      <c r="D114" s="3">
        <v>43502</v>
      </c>
      <c r="E114" s="3">
        <v>43532</v>
      </c>
      <c r="F114">
        <f t="shared" si="1"/>
        <v>127</v>
      </c>
    </row>
    <row r="115" spans="1:6" x14ac:dyDescent="0.25">
      <c r="A115">
        <v>2</v>
      </c>
      <c r="B115">
        <f>CalculateVacation(VLOOKUP(A115,'Employee Data'!A7:P106,16,FALSE),VLOOKUP(A115,'Employee Data'!A7:V106,22,FALSE))</f>
        <v>130.5</v>
      </c>
      <c r="C115">
        <v>2</v>
      </c>
      <c r="D115" s="3">
        <v>44011</v>
      </c>
      <c r="E115" s="3">
        <v>44013</v>
      </c>
      <c r="F115">
        <f t="shared" si="1"/>
        <v>128.5</v>
      </c>
    </row>
    <row r="116" spans="1:6" x14ac:dyDescent="0.25">
      <c r="A116">
        <v>99</v>
      </c>
      <c r="B116">
        <f>CalculateVacation(VLOOKUP(A116,'Employee Data'!A7:P106,16,FALSE),VLOOKUP(A116,'Employee Data'!A7:V106,22,FALSE))</f>
        <v>564</v>
      </c>
      <c r="C116">
        <v>15</v>
      </c>
      <c r="D116" s="3">
        <v>43924</v>
      </c>
      <c r="E116" s="3">
        <v>43929</v>
      </c>
      <c r="F116">
        <f t="shared" si="1"/>
        <v>549</v>
      </c>
    </row>
    <row r="117" spans="1:6" x14ac:dyDescent="0.25">
      <c r="A117">
        <v>83</v>
      </c>
      <c r="B117">
        <f>CalculateVacation(VLOOKUP(A117,'Employee Data'!A7:P106,16,FALSE),VLOOKUP(A117,'Employee Data'!A7:V106,22,FALSE))</f>
        <v>405</v>
      </c>
      <c r="C117">
        <v>22</v>
      </c>
      <c r="D117" s="3">
        <v>43905</v>
      </c>
      <c r="E117" s="3">
        <v>43908</v>
      </c>
      <c r="F117">
        <f t="shared" si="1"/>
        <v>383</v>
      </c>
    </row>
    <row r="118" spans="1:6" x14ac:dyDescent="0.25">
      <c r="A118">
        <v>19</v>
      </c>
      <c r="B118">
        <f>CalculateVacation(VLOOKUP(A118,'Employee Data'!A7:P106,16,FALSE),VLOOKUP(A118,'Employee Data'!A7:V106,22,FALSE))</f>
        <v>13</v>
      </c>
      <c r="C118">
        <v>13</v>
      </c>
      <c r="D118" s="3">
        <v>43821</v>
      </c>
      <c r="E118" s="3">
        <v>44005</v>
      </c>
      <c r="F118">
        <f t="shared" si="1"/>
        <v>0</v>
      </c>
    </row>
    <row r="119" spans="1:6" x14ac:dyDescent="0.25">
      <c r="A119">
        <v>68</v>
      </c>
      <c r="B119">
        <f>CalculateVacation(VLOOKUP(A119,'Employee Data'!A7:P106,16,FALSE),VLOOKUP(A119,'Employee Data'!A7:V106,22,FALSE))</f>
        <v>540</v>
      </c>
      <c r="C119">
        <v>6</v>
      </c>
      <c r="D119" s="3">
        <v>43762</v>
      </c>
      <c r="E119" s="3">
        <v>43765</v>
      </c>
      <c r="F119">
        <f t="shared" si="1"/>
        <v>534</v>
      </c>
    </row>
    <row r="120" spans="1:6" x14ac:dyDescent="0.25">
      <c r="A120">
        <v>21</v>
      </c>
      <c r="B120">
        <f>CalculateVacation(VLOOKUP(A120,'Employee Data'!A7:P106,16,FALSE),VLOOKUP(A120,'Employee Data'!A7:V106,22,FALSE))</f>
        <v>175.5</v>
      </c>
      <c r="C120">
        <v>27</v>
      </c>
      <c r="D120" s="3">
        <v>44017</v>
      </c>
      <c r="E120" s="3">
        <v>44087</v>
      </c>
      <c r="F120">
        <f t="shared" si="1"/>
        <v>148.5</v>
      </c>
    </row>
    <row r="121" spans="1:6" x14ac:dyDescent="0.25">
      <c r="A121">
        <v>36</v>
      </c>
      <c r="B121">
        <f>CalculateVacation(VLOOKUP(A121,'Employee Data'!A7:P106,16,FALSE),VLOOKUP(A121,'Employee Data'!A7:V106,22,FALSE))</f>
        <v>675</v>
      </c>
      <c r="C121">
        <v>21</v>
      </c>
      <c r="D121" s="3">
        <v>44059</v>
      </c>
      <c r="E121" s="3">
        <v>44065</v>
      </c>
      <c r="F121">
        <f t="shared" si="1"/>
        <v>654</v>
      </c>
    </row>
    <row r="122" spans="1:6" x14ac:dyDescent="0.25">
      <c r="A122">
        <v>86</v>
      </c>
      <c r="B122">
        <f>CalculateVacation(VLOOKUP(A122,'Employee Data'!A7:P106,16,FALSE),VLOOKUP(A122,'Employee Data'!A7:V106,22,FALSE))</f>
        <v>618</v>
      </c>
      <c r="C122">
        <v>23</v>
      </c>
      <c r="D122" s="3">
        <v>44082</v>
      </c>
      <c r="E122" s="3">
        <v>44084</v>
      </c>
      <c r="F122">
        <f t="shared" si="1"/>
        <v>595</v>
      </c>
    </row>
    <row r="123" spans="1:6" x14ac:dyDescent="0.25">
      <c r="A123">
        <v>39</v>
      </c>
      <c r="B123">
        <f>CalculateVacation(VLOOKUP(A123,'Employee Data'!A7:P106,16,FALSE),VLOOKUP(A123,'Employee Data'!A7:V106,22,FALSE))</f>
        <v>0</v>
      </c>
      <c r="C123">
        <v>29</v>
      </c>
      <c r="D123" s="3">
        <v>43654</v>
      </c>
      <c r="E123" s="3">
        <v>43655</v>
      </c>
      <c r="F123">
        <f t="shared" si="1"/>
        <v>-29</v>
      </c>
    </row>
    <row r="124" spans="1:6" x14ac:dyDescent="0.25">
      <c r="A124">
        <v>99</v>
      </c>
      <c r="B124">
        <f>CalculateVacation(VLOOKUP(A124,'Employee Data'!A7:P106,16,FALSE),VLOOKUP(A124,'Employee Data'!A7:V106,22,FALSE))</f>
        <v>564</v>
      </c>
      <c r="C124">
        <v>18</v>
      </c>
      <c r="D124" s="3">
        <v>43967</v>
      </c>
      <c r="E124" s="3">
        <v>43971</v>
      </c>
      <c r="F124">
        <f t="shared" si="1"/>
        <v>546</v>
      </c>
    </row>
    <row r="125" spans="1:6" x14ac:dyDescent="0.25">
      <c r="A125">
        <v>64</v>
      </c>
      <c r="B125">
        <f>CalculateVacation(VLOOKUP(A125,'Employee Data'!A7:P106,16,FALSE),VLOOKUP(A125,'Employee Data'!A7:V106,22,FALSE))</f>
        <v>39</v>
      </c>
      <c r="C125">
        <v>13</v>
      </c>
      <c r="D125" s="3">
        <v>43513</v>
      </c>
      <c r="E125" s="3">
        <v>43633</v>
      </c>
      <c r="F125">
        <f t="shared" si="1"/>
        <v>26</v>
      </c>
    </row>
    <row r="126" spans="1:6" x14ac:dyDescent="0.25">
      <c r="A126">
        <v>49</v>
      </c>
      <c r="B126">
        <f>CalculateVacation(VLOOKUP(A126,'Employee Data'!A7:P106,16,FALSE),VLOOKUP(A126,'Employee Data'!A7:V106,22,FALSE))</f>
        <v>360</v>
      </c>
      <c r="C126">
        <v>24</v>
      </c>
      <c r="D126" s="3">
        <v>44014</v>
      </c>
      <c r="E126" s="3">
        <v>44022</v>
      </c>
      <c r="F126">
        <f t="shared" si="1"/>
        <v>336</v>
      </c>
    </row>
    <row r="127" spans="1:6" x14ac:dyDescent="0.25">
      <c r="A127">
        <v>11</v>
      </c>
      <c r="B127">
        <f>CalculateVacation(VLOOKUP(A127,'Employee Data'!A7:P106,16,FALSE),VLOOKUP(A127,'Employee Data'!A7:V106,22,FALSE))</f>
        <v>417.5</v>
      </c>
      <c r="C127">
        <v>21</v>
      </c>
      <c r="D127" s="3">
        <v>43803</v>
      </c>
      <c r="E127" s="3">
        <v>43804</v>
      </c>
      <c r="F127">
        <f t="shared" si="1"/>
        <v>396.5</v>
      </c>
    </row>
    <row r="128" spans="1:6" x14ac:dyDescent="0.25">
      <c r="A128">
        <v>98</v>
      </c>
      <c r="B128">
        <f>CalculateVacation(VLOOKUP(A128,'Employee Data'!A7:P106,16,FALSE),VLOOKUP(A128,'Employee Data'!A7:V106,22,FALSE))</f>
        <v>648</v>
      </c>
      <c r="C128">
        <v>26</v>
      </c>
      <c r="D128" s="3">
        <v>44090</v>
      </c>
      <c r="E128" s="3">
        <v>44091</v>
      </c>
      <c r="F128">
        <f t="shared" si="1"/>
        <v>622</v>
      </c>
    </row>
    <row r="129" spans="1:6" x14ac:dyDescent="0.25">
      <c r="A129">
        <v>2</v>
      </c>
      <c r="B129">
        <f>CalculateVacation(VLOOKUP(A129,'Employee Data'!A7:P106,16,FALSE),VLOOKUP(A129,'Employee Data'!A7:V106,22,FALSE))</f>
        <v>130.5</v>
      </c>
      <c r="C129">
        <v>4</v>
      </c>
      <c r="D129" s="3">
        <v>43709</v>
      </c>
      <c r="E129" s="3">
        <v>44001</v>
      </c>
      <c r="F129">
        <f t="shared" si="1"/>
        <v>126.5</v>
      </c>
    </row>
    <row r="130" spans="1:6" x14ac:dyDescent="0.25">
      <c r="A130">
        <v>20</v>
      </c>
      <c r="B130">
        <f>CalculateVacation(VLOOKUP(A130,'Employee Data'!A7:P106,16,FALSE),VLOOKUP(A130,'Employee Data'!A7:V106,22,FALSE))</f>
        <v>410</v>
      </c>
      <c r="C130">
        <v>9</v>
      </c>
      <c r="D130" s="3">
        <v>43772</v>
      </c>
      <c r="E130" s="3">
        <v>43775</v>
      </c>
      <c r="F130">
        <f t="shared" si="1"/>
        <v>401</v>
      </c>
    </row>
    <row r="131" spans="1:6" x14ac:dyDescent="0.25">
      <c r="A131">
        <v>77</v>
      </c>
      <c r="B131">
        <f>CalculateVacation(VLOOKUP(A131,'Employee Data'!A7:P106,16,FALSE),VLOOKUP(A131,'Employee Data'!A7:V106,22,FALSE))</f>
        <v>437.5</v>
      </c>
      <c r="C131">
        <v>19</v>
      </c>
      <c r="D131" s="3">
        <v>43894</v>
      </c>
      <c r="E131" s="3">
        <v>44081</v>
      </c>
      <c r="F131">
        <f t="shared" si="1"/>
        <v>418.5</v>
      </c>
    </row>
    <row r="132" spans="1:6" x14ac:dyDescent="0.25">
      <c r="A132">
        <v>69</v>
      </c>
      <c r="B132">
        <f>CalculateVacation(VLOOKUP(A132,'Employee Data'!A7:P106,16,FALSE),VLOOKUP(A132,'Employee Data'!A7:V106,22,FALSE))</f>
        <v>250</v>
      </c>
      <c r="C132">
        <v>4</v>
      </c>
      <c r="D132" s="3">
        <v>43616</v>
      </c>
      <c r="E132" s="3">
        <v>43870</v>
      </c>
      <c r="F132">
        <f t="shared" si="1"/>
        <v>246</v>
      </c>
    </row>
    <row r="133" spans="1:6" x14ac:dyDescent="0.25">
      <c r="A133">
        <v>100</v>
      </c>
      <c r="B133">
        <f>CalculateVacation(VLOOKUP(A133,'Employee Data'!A7:P106,16,FALSE),VLOOKUP(A133,'Employee Data'!A7:V106,22,FALSE))</f>
        <v>540</v>
      </c>
      <c r="C133">
        <v>13</v>
      </c>
      <c r="D133" s="3">
        <v>43955</v>
      </c>
      <c r="E133" s="3">
        <v>43964</v>
      </c>
      <c r="F133">
        <f t="shared" si="1"/>
        <v>527</v>
      </c>
    </row>
    <row r="134" spans="1:6" x14ac:dyDescent="0.25">
      <c r="A134">
        <v>56</v>
      </c>
      <c r="B134">
        <f>CalculateVacation(VLOOKUP(A134,'Employee Data'!A7:P106,16,FALSE),VLOOKUP(A134,'Employee Data'!A7:V106,22,FALSE))</f>
        <v>362.5</v>
      </c>
      <c r="C134">
        <v>8</v>
      </c>
      <c r="D134" s="3">
        <v>43616</v>
      </c>
      <c r="E134" s="3">
        <v>43725</v>
      </c>
      <c r="F134">
        <f t="shared" si="1"/>
        <v>354.5</v>
      </c>
    </row>
    <row r="135" spans="1:6" x14ac:dyDescent="0.25">
      <c r="A135">
        <v>24</v>
      </c>
      <c r="B135">
        <f>CalculateVacation(VLOOKUP(A135,'Employee Data'!A7:P106,16,FALSE),VLOOKUP(A135,'Employee Data'!A7:V106,22,FALSE))</f>
        <v>432.5</v>
      </c>
      <c r="C135">
        <v>20</v>
      </c>
      <c r="D135" s="3">
        <v>44064</v>
      </c>
      <c r="E135" s="3">
        <v>44067</v>
      </c>
      <c r="F135">
        <f t="shared" si="1"/>
        <v>412.5</v>
      </c>
    </row>
    <row r="136" spans="1:6" x14ac:dyDescent="0.25">
      <c r="A136">
        <v>75</v>
      </c>
      <c r="B136">
        <f>CalculateVacation(VLOOKUP(A136,'Employee Data'!A7:P106,16,FALSE),VLOOKUP(A136,'Employee Data'!A7:V106,22,FALSE))</f>
        <v>407.5</v>
      </c>
      <c r="C136">
        <v>8</v>
      </c>
      <c r="D136" s="3">
        <v>43545</v>
      </c>
      <c r="E136" s="3">
        <v>44080</v>
      </c>
      <c r="F136">
        <f t="shared" ref="F136:F199" si="2">B136-C136</f>
        <v>399.5</v>
      </c>
    </row>
    <row r="137" spans="1:6" x14ac:dyDescent="0.25">
      <c r="A137">
        <v>7</v>
      </c>
      <c r="B137">
        <f>CalculateVacation(VLOOKUP(A137,'Employee Data'!A7:P106,16,FALSE),VLOOKUP(A137,'Employee Data'!A7:V106,22,FALSE))</f>
        <v>642</v>
      </c>
      <c r="C137">
        <v>3</v>
      </c>
      <c r="D137" s="3">
        <v>43555</v>
      </c>
      <c r="E137" s="3">
        <v>44091</v>
      </c>
      <c r="F137">
        <f t="shared" si="2"/>
        <v>639</v>
      </c>
    </row>
    <row r="138" spans="1:6" x14ac:dyDescent="0.25">
      <c r="A138">
        <v>74</v>
      </c>
      <c r="B138">
        <f>CalculateVacation(VLOOKUP(A138,'Employee Data'!A7:P106,16,FALSE),VLOOKUP(A138,'Employee Data'!A7:V106,22,FALSE))</f>
        <v>417.5</v>
      </c>
      <c r="C138">
        <v>17</v>
      </c>
      <c r="D138" s="3">
        <v>44101</v>
      </c>
      <c r="E138" s="3">
        <v>44103</v>
      </c>
      <c r="F138">
        <f t="shared" si="2"/>
        <v>400.5</v>
      </c>
    </row>
    <row r="139" spans="1:6" x14ac:dyDescent="0.25">
      <c r="A139">
        <v>1</v>
      </c>
      <c r="B139">
        <f>CalculateVacation(VLOOKUP(A139,'Employee Data'!A7:P106,16,FALSE),VLOOKUP(A139,'Employee Data'!A7:V106,22,FALSE))</f>
        <v>244</v>
      </c>
      <c r="C139">
        <v>28</v>
      </c>
      <c r="D139" s="3">
        <v>44104</v>
      </c>
      <c r="E139" s="3">
        <v>44105</v>
      </c>
      <c r="F139">
        <f t="shared" si="2"/>
        <v>216</v>
      </c>
    </row>
    <row r="140" spans="1:6" x14ac:dyDescent="0.25">
      <c r="A140">
        <v>9</v>
      </c>
      <c r="B140">
        <f>CalculateVacation(VLOOKUP(A140,'Employee Data'!A7:P106,16,FALSE),VLOOKUP(A140,'Employee Data'!A7:V106,22,FALSE))</f>
        <v>36</v>
      </c>
      <c r="C140">
        <v>30</v>
      </c>
      <c r="D140" s="3">
        <v>43760</v>
      </c>
      <c r="E140" s="3">
        <v>43859</v>
      </c>
      <c r="F140">
        <f t="shared" si="2"/>
        <v>6</v>
      </c>
    </row>
    <row r="141" spans="1:6" x14ac:dyDescent="0.25">
      <c r="A141">
        <v>15</v>
      </c>
      <c r="B141">
        <f>CalculateVacation(VLOOKUP(A141,'Employee Data'!A7:P106,16,FALSE),VLOOKUP(A141,'Employee Data'!A7:V106,22,FALSE))</f>
        <v>651</v>
      </c>
      <c r="C141">
        <v>18</v>
      </c>
      <c r="D141" s="3">
        <v>43607</v>
      </c>
      <c r="E141" s="3">
        <v>43612</v>
      </c>
      <c r="F141">
        <f t="shared" si="2"/>
        <v>633</v>
      </c>
    </row>
    <row r="142" spans="1:6" x14ac:dyDescent="0.25">
      <c r="A142">
        <v>11</v>
      </c>
      <c r="B142">
        <f>CalculateVacation(VLOOKUP(A142,'Employee Data'!A7:P106,16,FALSE),VLOOKUP(A142,'Employee Data'!A7:V106,22,FALSE))</f>
        <v>417.5</v>
      </c>
      <c r="C142">
        <v>10</v>
      </c>
      <c r="D142" s="3">
        <v>43574</v>
      </c>
      <c r="E142" s="3">
        <v>44071</v>
      </c>
      <c r="F142">
        <f t="shared" si="2"/>
        <v>407.5</v>
      </c>
    </row>
    <row r="143" spans="1:6" x14ac:dyDescent="0.25">
      <c r="A143">
        <v>49</v>
      </c>
      <c r="B143">
        <f>CalculateVacation(VLOOKUP(A143,'Employee Data'!A7:P106,16,FALSE),VLOOKUP(A143,'Employee Data'!A7:V106,22,FALSE))</f>
        <v>360</v>
      </c>
      <c r="C143">
        <v>1</v>
      </c>
      <c r="D143" s="3">
        <v>43745</v>
      </c>
      <c r="E143" s="3">
        <v>43828</v>
      </c>
      <c r="F143">
        <f t="shared" si="2"/>
        <v>359</v>
      </c>
    </row>
    <row r="144" spans="1:6" x14ac:dyDescent="0.25">
      <c r="A144">
        <v>54</v>
      </c>
      <c r="B144">
        <f>CalculateVacation(VLOOKUP(A144,'Employee Data'!A7:P106,16,FALSE),VLOOKUP(A144,'Employee Data'!A7:V106,22,FALSE))</f>
        <v>145.5</v>
      </c>
      <c r="C144">
        <v>13</v>
      </c>
      <c r="D144" s="3">
        <v>43668</v>
      </c>
      <c r="E144" s="3">
        <v>44093</v>
      </c>
      <c r="F144">
        <f t="shared" si="2"/>
        <v>132.5</v>
      </c>
    </row>
    <row r="145" spans="1:6" x14ac:dyDescent="0.25">
      <c r="A145">
        <v>73</v>
      </c>
      <c r="B145">
        <f>CalculateVacation(VLOOKUP(A145,'Employee Data'!A7:P106,16,FALSE),VLOOKUP(A145,'Employee Data'!A7:V106,22,FALSE))</f>
        <v>105</v>
      </c>
      <c r="C145">
        <v>2</v>
      </c>
      <c r="D145" s="3">
        <v>43655</v>
      </c>
      <c r="E145" s="3">
        <v>43834</v>
      </c>
      <c r="F145">
        <f t="shared" si="2"/>
        <v>103</v>
      </c>
    </row>
    <row r="146" spans="1:6" x14ac:dyDescent="0.25">
      <c r="A146">
        <v>70</v>
      </c>
      <c r="B146">
        <f>CalculateVacation(VLOOKUP(A146,'Employee Data'!A7:P106,16,FALSE),VLOOKUP(A146,'Employee Data'!A7:V106,22,FALSE))</f>
        <v>543</v>
      </c>
      <c r="C146">
        <v>20</v>
      </c>
      <c r="D146" s="3">
        <v>43577</v>
      </c>
      <c r="E146" s="3">
        <v>43768</v>
      </c>
      <c r="F146">
        <f t="shared" si="2"/>
        <v>523</v>
      </c>
    </row>
    <row r="147" spans="1:6" x14ac:dyDescent="0.25">
      <c r="A147">
        <v>77</v>
      </c>
      <c r="B147">
        <f>CalculateVacation(VLOOKUP(A147,'Employee Data'!A7:P106,16,FALSE),VLOOKUP(A147,'Employee Data'!A7:V106,22,FALSE))</f>
        <v>437.5</v>
      </c>
      <c r="C147">
        <v>21</v>
      </c>
      <c r="D147" s="3">
        <v>43527</v>
      </c>
      <c r="E147" s="3">
        <v>43980</v>
      </c>
      <c r="F147">
        <f t="shared" si="2"/>
        <v>416.5</v>
      </c>
    </row>
    <row r="148" spans="1:6" x14ac:dyDescent="0.25">
      <c r="A148">
        <v>72</v>
      </c>
      <c r="B148">
        <f>CalculateVacation(VLOOKUP(A148,'Employee Data'!A7:P106,16,FALSE),VLOOKUP(A148,'Employee Data'!A7:V106,22,FALSE))</f>
        <v>537</v>
      </c>
      <c r="C148">
        <v>10</v>
      </c>
      <c r="D148" s="3">
        <v>43503</v>
      </c>
      <c r="E148" s="3">
        <v>44062</v>
      </c>
      <c r="F148">
        <f t="shared" si="2"/>
        <v>527</v>
      </c>
    </row>
    <row r="149" spans="1:6" x14ac:dyDescent="0.25">
      <c r="A149">
        <v>41</v>
      </c>
      <c r="B149">
        <f>CalculateVacation(VLOOKUP(A149,'Employee Data'!A7:P106,16,FALSE),VLOOKUP(A149,'Employee Data'!A7:V106,22,FALSE))</f>
        <v>365</v>
      </c>
      <c r="C149">
        <v>9</v>
      </c>
      <c r="D149" s="3">
        <v>43549</v>
      </c>
      <c r="E149" s="3">
        <v>43766</v>
      </c>
      <c r="F149">
        <f t="shared" si="2"/>
        <v>356</v>
      </c>
    </row>
    <row r="150" spans="1:6" x14ac:dyDescent="0.25">
      <c r="A150">
        <v>85</v>
      </c>
      <c r="B150">
        <f>CalculateVacation(VLOOKUP(A150,'Employee Data'!A7:P106,16,FALSE),VLOOKUP(A150,'Employee Data'!A7:V106,22,FALSE))</f>
        <v>636</v>
      </c>
      <c r="C150">
        <v>24</v>
      </c>
      <c r="D150" s="3">
        <v>43527</v>
      </c>
      <c r="E150" s="3">
        <v>44040</v>
      </c>
      <c r="F150">
        <f t="shared" si="2"/>
        <v>612</v>
      </c>
    </row>
    <row r="151" spans="1:6" x14ac:dyDescent="0.25">
      <c r="A151">
        <v>97</v>
      </c>
      <c r="B151">
        <f>CalculateVacation(VLOOKUP(A151,'Employee Data'!A7:P106,16,FALSE),VLOOKUP(A151,'Employee Data'!A7:V106,22,FALSE))</f>
        <v>355</v>
      </c>
      <c r="C151">
        <v>4</v>
      </c>
      <c r="D151" s="3">
        <v>43971</v>
      </c>
      <c r="E151" s="3">
        <v>43973</v>
      </c>
      <c r="F151">
        <f t="shared" si="2"/>
        <v>351</v>
      </c>
    </row>
    <row r="152" spans="1:6" x14ac:dyDescent="0.25">
      <c r="A152">
        <v>92</v>
      </c>
      <c r="B152">
        <f>CalculateVacation(VLOOKUP(A152,'Employee Data'!A7:P106,16,FALSE),VLOOKUP(A152,'Employee Data'!A7:V106,22,FALSE))</f>
        <v>112.5</v>
      </c>
      <c r="C152">
        <v>11</v>
      </c>
      <c r="D152" s="3">
        <v>43679</v>
      </c>
      <c r="E152" s="3">
        <v>44081</v>
      </c>
      <c r="F152">
        <f t="shared" si="2"/>
        <v>101.5</v>
      </c>
    </row>
    <row r="153" spans="1:6" x14ac:dyDescent="0.25">
      <c r="A153">
        <v>71</v>
      </c>
      <c r="B153">
        <f>CalculateVacation(VLOOKUP(A153,'Employee Data'!A7:P106,16,FALSE),VLOOKUP(A153,'Employee Data'!A7:V106,22,FALSE))</f>
        <v>117</v>
      </c>
      <c r="C153">
        <v>4</v>
      </c>
      <c r="D153" s="3">
        <v>43894</v>
      </c>
      <c r="E153" s="3">
        <v>43900</v>
      </c>
      <c r="F153">
        <f t="shared" si="2"/>
        <v>113</v>
      </c>
    </row>
    <row r="154" spans="1:6" x14ac:dyDescent="0.25">
      <c r="A154">
        <v>78</v>
      </c>
      <c r="B154">
        <f>CalculateVacation(VLOOKUP(A154,'Employee Data'!A7:P106,16,FALSE),VLOOKUP(A154,'Employee Data'!A7:V106,22,FALSE))</f>
        <v>0</v>
      </c>
      <c r="C154">
        <v>28</v>
      </c>
      <c r="D154" s="3">
        <v>43567</v>
      </c>
      <c r="E154" s="3">
        <v>44065</v>
      </c>
      <c r="F154">
        <f t="shared" si="2"/>
        <v>-28</v>
      </c>
    </row>
    <row r="155" spans="1:6" x14ac:dyDescent="0.25">
      <c r="A155">
        <v>18</v>
      </c>
      <c r="B155">
        <f>CalculateVacation(VLOOKUP(A155,'Employee Data'!A7:P106,16,FALSE),VLOOKUP(A155,'Employee Data'!A7:V106,22,FALSE))</f>
        <v>603</v>
      </c>
      <c r="C155">
        <v>8</v>
      </c>
      <c r="D155" s="3">
        <v>44088</v>
      </c>
      <c r="E155" s="3">
        <v>44095</v>
      </c>
      <c r="F155">
        <f t="shared" si="2"/>
        <v>595</v>
      </c>
    </row>
    <row r="156" spans="1:6" x14ac:dyDescent="0.25">
      <c r="A156">
        <v>5</v>
      </c>
      <c r="B156">
        <f>CalculateVacation(VLOOKUP(A156,'Employee Data'!A7:P106,16,FALSE),VLOOKUP(A156,'Employee Data'!A7:V106,22,FALSE))</f>
        <v>417.5</v>
      </c>
      <c r="C156">
        <v>5</v>
      </c>
      <c r="D156" s="3">
        <v>43732</v>
      </c>
      <c r="E156" s="3">
        <v>43956</v>
      </c>
      <c r="F156">
        <f t="shared" si="2"/>
        <v>412.5</v>
      </c>
    </row>
    <row r="157" spans="1:6" x14ac:dyDescent="0.25">
      <c r="A157">
        <v>70</v>
      </c>
      <c r="B157">
        <f>CalculateVacation(VLOOKUP(A157,'Employee Data'!A7:P106,16,FALSE),VLOOKUP(A157,'Employee Data'!A7:V106,22,FALSE))</f>
        <v>543</v>
      </c>
      <c r="C157">
        <v>13</v>
      </c>
      <c r="D157" s="3">
        <v>44008</v>
      </c>
      <c r="E157" s="3">
        <v>44074</v>
      </c>
      <c r="F157">
        <f t="shared" si="2"/>
        <v>530</v>
      </c>
    </row>
    <row r="158" spans="1:6" x14ac:dyDescent="0.25">
      <c r="A158">
        <v>9</v>
      </c>
      <c r="B158">
        <f>CalculateVacation(VLOOKUP(A158,'Employee Data'!A7:P106,16,FALSE),VLOOKUP(A158,'Employee Data'!A7:V106,22,FALSE))</f>
        <v>36</v>
      </c>
      <c r="C158">
        <v>16</v>
      </c>
      <c r="D158" s="3">
        <v>43952</v>
      </c>
      <c r="E158" s="3">
        <v>43962</v>
      </c>
      <c r="F158">
        <f t="shared" si="2"/>
        <v>20</v>
      </c>
    </row>
    <row r="159" spans="1:6" x14ac:dyDescent="0.25">
      <c r="A159">
        <v>78</v>
      </c>
      <c r="B159">
        <f>CalculateVacation(VLOOKUP(A159,'Employee Data'!A7:P106,16,FALSE),VLOOKUP(A159,'Employee Data'!A7:V106,22,FALSE))</f>
        <v>0</v>
      </c>
      <c r="C159">
        <v>17</v>
      </c>
      <c r="D159" s="3">
        <v>43783</v>
      </c>
      <c r="E159" s="3">
        <v>43788</v>
      </c>
      <c r="F159">
        <f t="shared" si="2"/>
        <v>-17</v>
      </c>
    </row>
    <row r="160" spans="1:6" x14ac:dyDescent="0.25">
      <c r="A160">
        <v>68</v>
      </c>
      <c r="B160">
        <f>CalculateVacation(VLOOKUP(A160,'Employee Data'!A7:P106,16,FALSE),VLOOKUP(A160,'Employee Data'!A7:V106,22,FALSE))</f>
        <v>540</v>
      </c>
      <c r="C160">
        <v>18</v>
      </c>
      <c r="D160" s="3">
        <v>43627</v>
      </c>
      <c r="E160" s="3">
        <v>43634</v>
      </c>
      <c r="F160">
        <f t="shared" si="2"/>
        <v>522</v>
      </c>
    </row>
    <row r="161" spans="1:6" x14ac:dyDescent="0.25">
      <c r="A161">
        <v>69</v>
      </c>
      <c r="B161">
        <f>CalculateVacation(VLOOKUP(A161,'Employee Data'!A7:P106,16,FALSE),VLOOKUP(A161,'Employee Data'!A7:V106,22,FALSE))</f>
        <v>250</v>
      </c>
      <c r="C161">
        <v>30</v>
      </c>
      <c r="D161" s="3">
        <v>44047</v>
      </c>
      <c r="E161" s="3">
        <v>44055</v>
      </c>
      <c r="F161">
        <f t="shared" si="2"/>
        <v>220</v>
      </c>
    </row>
    <row r="162" spans="1:6" x14ac:dyDescent="0.25">
      <c r="A162">
        <v>88</v>
      </c>
      <c r="B162">
        <f>CalculateVacation(VLOOKUP(A162,'Employee Data'!A7:P106,16,FALSE),VLOOKUP(A162,'Employee Data'!A7:V106,22,FALSE))</f>
        <v>390</v>
      </c>
      <c r="C162">
        <v>17</v>
      </c>
      <c r="D162" s="3">
        <v>43685</v>
      </c>
      <c r="E162" s="3">
        <v>43908</v>
      </c>
      <c r="F162">
        <f t="shared" si="2"/>
        <v>373</v>
      </c>
    </row>
    <row r="163" spans="1:6" x14ac:dyDescent="0.25">
      <c r="A163">
        <v>3</v>
      </c>
      <c r="B163">
        <f>CalculateVacation(VLOOKUP(A163,'Employee Data'!A7:P106,16,FALSE),VLOOKUP(A163,'Employee Data'!A7:V106,22,FALSE))</f>
        <v>238</v>
      </c>
      <c r="C163">
        <v>20</v>
      </c>
      <c r="D163" s="3">
        <v>43826</v>
      </c>
      <c r="E163" s="3">
        <v>43941</v>
      </c>
      <c r="F163">
        <f t="shared" si="2"/>
        <v>218</v>
      </c>
    </row>
    <row r="164" spans="1:6" x14ac:dyDescent="0.25">
      <c r="A164">
        <v>98</v>
      </c>
      <c r="B164">
        <f>CalculateVacation(VLOOKUP(A164,'Employee Data'!A7:P106,16,FALSE),VLOOKUP(A164,'Employee Data'!A7:V106,22,FALSE))</f>
        <v>648</v>
      </c>
      <c r="C164">
        <v>4</v>
      </c>
      <c r="D164" s="3">
        <v>44025</v>
      </c>
      <c r="E164" s="3">
        <v>44026</v>
      </c>
      <c r="F164">
        <f t="shared" si="2"/>
        <v>644</v>
      </c>
    </row>
    <row r="165" spans="1:6" x14ac:dyDescent="0.25">
      <c r="A165">
        <v>10</v>
      </c>
      <c r="B165">
        <f>CalculateVacation(VLOOKUP(A165,'Employee Data'!A7:P106,16,FALSE),VLOOKUP(A165,'Employee Data'!A7:V106,22,FALSE))</f>
        <v>150</v>
      </c>
      <c r="C165">
        <v>10</v>
      </c>
      <c r="D165" s="3">
        <v>43522</v>
      </c>
      <c r="E165" s="3">
        <v>43600</v>
      </c>
      <c r="F165">
        <f t="shared" si="2"/>
        <v>140</v>
      </c>
    </row>
    <row r="166" spans="1:6" x14ac:dyDescent="0.25">
      <c r="A166">
        <v>7</v>
      </c>
      <c r="B166">
        <f>CalculateVacation(VLOOKUP(A166,'Employee Data'!A7:P106,16,FALSE),VLOOKUP(A166,'Employee Data'!A7:V106,22,FALSE))</f>
        <v>642</v>
      </c>
      <c r="C166">
        <v>25</v>
      </c>
      <c r="D166" s="3">
        <v>43720</v>
      </c>
      <c r="E166" s="3">
        <v>44049</v>
      </c>
      <c r="F166">
        <f t="shared" si="2"/>
        <v>617</v>
      </c>
    </row>
    <row r="167" spans="1:6" x14ac:dyDescent="0.25">
      <c r="A167">
        <v>65</v>
      </c>
      <c r="B167">
        <f>CalculateVacation(VLOOKUP(A167,'Employee Data'!A7:P106,16,FALSE),VLOOKUP(A167,'Employee Data'!A7:V106,22,FALSE))</f>
        <v>112.5</v>
      </c>
      <c r="C167">
        <v>29</v>
      </c>
      <c r="D167" s="3">
        <v>43592</v>
      </c>
      <c r="E167" s="3">
        <v>43757</v>
      </c>
      <c r="F167">
        <f t="shared" si="2"/>
        <v>83.5</v>
      </c>
    </row>
    <row r="168" spans="1:6" x14ac:dyDescent="0.25">
      <c r="A168">
        <v>53</v>
      </c>
      <c r="B168">
        <f>CalculateVacation(VLOOKUP(A168,'Employee Data'!A7:P106,16,FALSE),VLOOKUP(A168,'Employee Data'!A7:V106,22,FALSE))</f>
        <v>630</v>
      </c>
      <c r="C168">
        <v>5</v>
      </c>
      <c r="D168" s="3">
        <v>43485</v>
      </c>
      <c r="E168" s="3">
        <v>43994</v>
      </c>
      <c r="F168">
        <f t="shared" si="2"/>
        <v>625</v>
      </c>
    </row>
    <row r="169" spans="1:6" x14ac:dyDescent="0.25">
      <c r="A169">
        <v>92</v>
      </c>
      <c r="B169">
        <f>CalculateVacation(VLOOKUP(A169,'Employee Data'!A7:P106,16,FALSE),VLOOKUP(A169,'Employee Data'!A7:V106,22,FALSE))</f>
        <v>112.5</v>
      </c>
      <c r="C169">
        <v>29</v>
      </c>
      <c r="D169" s="3">
        <v>43745</v>
      </c>
      <c r="E169" s="3">
        <v>44068</v>
      </c>
      <c r="F169">
        <f t="shared" si="2"/>
        <v>83.5</v>
      </c>
    </row>
    <row r="170" spans="1:6" x14ac:dyDescent="0.25">
      <c r="A170">
        <v>72</v>
      </c>
      <c r="B170">
        <f>CalculateVacation(VLOOKUP(A170,'Employee Data'!A7:P106,16,FALSE),VLOOKUP(A170,'Employee Data'!A7:V106,22,FALSE))</f>
        <v>537</v>
      </c>
      <c r="C170">
        <v>3</v>
      </c>
      <c r="D170" s="3">
        <v>43922</v>
      </c>
      <c r="E170" s="3">
        <v>43923</v>
      </c>
      <c r="F170">
        <f t="shared" si="2"/>
        <v>534</v>
      </c>
    </row>
    <row r="171" spans="1:6" x14ac:dyDescent="0.25">
      <c r="A171">
        <v>68</v>
      </c>
      <c r="B171">
        <f>CalculateVacation(VLOOKUP(A171,'Employee Data'!A7:P106,16,FALSE),VLOOKUP(A171,'Employee Data'!A7:V106,22,FALSE))</f>
        <v>540</v>
      </c>
      <c r="C171">
        <v>30</v>
      </c>
      <c r="D171" s="3">
        <v>43648</v>
      </c>
      <c r="E171" s="3">
        <v>43651</v>
      </c>
      <c r="F171">
        <f t="shared" si="2"/>
        <v>510</v>
      </c>
    </row>
    <row r="172" spans="1:6" x14ac:dyDescent="0.25">
      <c r="A172">
        <v>43</v>
      </c>
      <c r="B172">
        <f>CalculateVacation(VLOOKUP(A172,'Employee Data'!A7:P106,16,FALSE),VLOOKUP(A172,'Employee Data'!A7:V106,22,FALSE))</f>
        <v>52</v>
      </c>
      <c r="C172">
        <v>2</v>
      </c>
      <c r="D172" s="3">
        <v>43646</v>
      </c>
      <c r="E172" s="3">
        <v>43815</v>
      </c>
      <c r="F172">
        <f t="shared" si="2"/>
        <v>50</v>
      </c>
    </row>
    <row r="173" spans="1:6" x14ac:dyDescent="0.25">
      <c r="A173">
        <v>55</v>
      </c>
      <c r="B173">
        <f>CalculateVacation(VLOOKUP(A173,'Employee Data'!A7:P106,16,FALSE),VLOOKUP(A173,'Employee Data'!A7:V106,22,FALSE))</f>
        <v>0</v>
      </c>
      <c r="C173">
        <v>24</v>
      </c>
      <c r="D173" s="3">
        <v>43869</v>
      </c>
      <c r="E173" s="3">
        <v>43874</v>
      </c>
      <c r="F173">
        <f t="shared" si="2"/>
        <v>-24</v>
      </c>
    </row>
    <row r="174" spans="1:6" x14ac:dyDescent="0.25">
      <c r="A174">
        <v>65</v>
      </c>
      <c r="B174">
        <f>CalculateVacation(VLOOKUP(A174,'Employee Data'!A7:P106,16,FALSE),VLOOKUP(A174,'Employee Data'!A7:V106,22,FALSE))</f>
        <v>112.5</v>
      </c>
      <c r="C174">
        <v>17</v>
      </c>
      <c r="D174" s="3">
        <v>43643</v>
      </c>
      <c r="E174" s="3">
        <v>43842</v>
      </c>
      <c r="F174">
        <f t="shared" si="2"/>
        <v>95.5</v>
      </c>
    </row>
    <row r="175" spans="1:6" x14ac:dyDescent="0.25">
      <c r="A175">
        <v>8</v>
      </c>
      <c r="B175">
        <f>CalculateVacation(VLOOKUP(A175,'Employee Data'!A7:P106,16,FALSE),VLOOKUP(A175,'Employee Data'!A7:V106,22,FALSE))</f>
        <v>588</v>
      </c>
      <c r="C175">
        <v>7</v>
      </c>
      <c r="D175" s="3">
        <v>43679</v>
      </c>
      <c r="E175" s="3">
        <v>44063</v>
      </c>
      <c r="F175">
        <f t="shared" si="2"/>
        <v>581</v>
      </c>
    </row>
    <row r="176" spans="1:6" x14ac:dyDescent="0.25">
      <c r="A176">
        <v>39</v>
      </c>
      <c r="B176">
        <f>CalculateVacation(VLOOKUP(A176,'Employee Data'!A7:P106,16,FALSE),VLOOKUP(A176,'Employee Data'!A7:V106,22,FALSE))</f>
        <v>0</v>
      </c>
      <c r="C176">
        <v>10</v>
      </c>
      <c r="D176" s="3">
        <v>43761</v>
      </c>
      <c r="E176" s="3">
        <v>43766</v>
      </c>
      <c r="F176">
        <f t="shared" si="2"/>
        <v>-10</v>
      </c>
    </row>
    <row r="177" spans="1:6" x14ac:dyDescent="0.25">
      <c r="A177">
        <v>100</v>
      </c>
      <c r="B177">
        <f>CalculateVacation(VLOOKUP(A177,'Employee Data'!A7:P106,16,FALSE),VLOOKUP(A177,'Employee Data'!A7:V106,22,FALSE))</f>
        <v>540</v>
      </c>
      <c r="C177">
        <v>1</v>
      </c>
      <c r="D177" s="3">
        <v>43958</v>
      </c>
      <c r="E177" s="3">
        <v>43962</v>
      </c>
      <c r="F177">
        <f t="shared" si="2"/>
        <v>539</v>
      </c>
    </row>
    <row r="178" spans="1:6" x14ac:dyDescent="0.25">
      <c r="A178">
        <v>23</v>
      </c>
      <c r="B178">
        <f>CalculateVacation(VLOOKUP(A178,'Employee Data'!A7:P106,16,FALSE),VLOOKUP(A178,'Employee Data'!A7:V106,22,FALSE))</f>
        <v>666</v>
      </c>
      <c r="C178">
        <v>11</v>
      </c>
      <c r="D178" s="3">
        <v>43941</v>
      </c>
      <c r="E178" s="3">
        <v>43942</v>
      </c>
      <c r="F178">
        <f t="shared" si="2"/>
        <v>655</v>
      </c>
    </row>
    <row r="179" spans="1:6" x14ac:dyDescent="0.25">
      <c r="A179">
        <v>68</v>
      </c>
      <c r="B179">
        <f>CalculateVacation(VLOOKUP(A179,'Employee Data'!A7:P106,16,FALSE),VLOOKUP(A179,'Employee Data'!A7:V106,22,FALSE))</f>
        <v>540</v>
      </c>
      <c r="C179">
        <v>5</v>
      </c>
      <c r="D179" s="3">
        <v>43548</v>
      </c>
      <c r="E179" s="3">
        <v>43557</v>
      </c>
      <c r="F179">
        <f t="shared" si="2"/>
        <v>535</v>
      </c>
    </row>
    <row r="180" spans="1:6" x14ac:dyDescent="0.25">
      <c r="A180">
        <v>64</v>
      </c>
      <c r="B180">
        <f>CalculateVacation(VLOOKUP(A180,'Employee Data'!A7:P106,16,FALSE),VLOOKUP(A180,'Employee Data'!A7:V106,22,FALSE))</f>
        <v>39</v>
      </c>
      <c r="C180">
        <v>28</v>
      </c>
      <c r="D180" s="3">
        <v>43917</v>
      </c>
      <c r="E180" s="3">
        <v>43924</v>
      </c>
      <c r="F180">
        <f t="shared" si="2"/>
        <v>11</v>
      </c>
    </row>
    <row r="181" spans="1:6" x14ac:dyDescent="0.25">
      <c r="A181">
        <v>10</v>
      </c>
      <c r="B181">
        <f>CalculateVacation(VLOOKUP(A181,'Employee Data'!A7:P106,16,FALSE),VLOOKUP(A181,'Employee Data'!A7:V106,22,FALSE))</f>
        <v>150</v>
      </c>
      <c r="C181">
        <v>22</v>
      </c>
      <c r="D181" s="3">
        <v>44061</v>
      </c>
      <c r="E181" s="3">
        <v>44067</v>
      </c>
      <c r="F181">
        <f t="shared" si="2"/>
        <v>128</v>
      </c>
    </row>
    <row r="182" spans="1:6" x14ac:dyDescent="0.25">
      <c r="A182">
        <v>4</v>
      </c>
      <c r="B182">
        <f>CalculateVacation(VLOOKUP(A182,'Employee Data'!A7:P106,16,FALSE),VLOOKUP(A182,'Employee Data'!A7:V106,22,FALSE))</f>
        <v>242</v>
      </c>
      <c r="C182">
        <v>21</v>
      </c>
      <c r="D182" s="3">
        <v>43836</v>
      </c>
      <c r="E182" s="3">
        <v>44008</v>
      </c>
      <c r="F182">
        <f t="shared" si="2"/>
        <v>221</v>
      </c>
    </row>
    <row r="183" spans="1:6" x14ac:dyDescent="0.25">
      <c r="A183">
        <v>24</v>
      </c>
      <c r="B183">
        <f>CalculateVacation(VLOOKUP(A183,'Employee Data'!A7:P106,16,FALSE),VLOOKUP(A183,'Employee Data'!A7:V106,22,FALSE))</f>
        <v>432.5</v>
      </c>
      <c r="C183">
        <v>3</v>
      </c>
      <c r="D183" s="3">
        <v>43635</v>
      </c>
      <c r="E183" s="3">
        <v>43951</v>
      </c>
      <c r="F183">
        <f t="shared" si="2"/>
        <v>429.5</v>
      </c>
    </row>
    <row r="184" spans="1:6" x14ac:dyDescent="0.25">
      <c r="A184">
        <v>36</v>
      </c>
      <c r="B184">
        <f>CalculateVacation(VLOOKUP(A184,'Employee Data'!A7:P106,16,FALSE),VLOOKUP(A184,'Employee Data'!A7:V106,22,FALSE))</f>
        <v>675</v>
      </c>
      <c r="C184">
        <v>4</v>
      </c>
      <c r="D184" s="3">
        <v>43705</v>
      </c>
      <c r="E184" s="3">
        <v>43722</v>
      </c>
      <c r="F184">
        <f t="shared" si="2"/>
        <v>671</v>
      </c>
    </row>
    <row r="185" spans="1:6" x14ac:dyDescent="0.25">
      <c r="A185">
        <v>75</v>
      </c>
      <c r="B185">
        <f>CalculateVacation(VLOOKUP(A185,'Employee Data'!A7:P106,16,FALSE),VLOOKUP(A185,'Employee Data'!A7:V106,22,FALSE))</f>
        <v>407.5</v>
      </c>
      <c r="C185">
        <v>16</v>
      </c>
      <c r="D185" s="3">
        <v>43928</v>
      </c>
      <c r="E185" s="3">
        <v>43929</v>
      </c>
      <c r="F185">
        <f t="shared" si="2"/>
        <v>391.5</v>
      </c>
    </row>
    <row r="186" spans="1:6" x14ac:dyDescent="0.25">
      <c r="A186">
        <v>43</v>
      </c>
      <c r="B186">
        <f>CalculateVacation(VLOOKUP(A186,'Employee Data'!A7:P106,16,FALSE),VLOOKUP(A186,'Employee Data'!A7:V106,22,FALSE))</f>
        <v>52</v>
      </c>
      <c r="C186">
        <v>10</v>
      </c>
      <c r="D186" s="3">
        <v>43778</v>
      </c>
      <c r="E186" s="3">
        <v>43787</v>
      </c>
      <c r="F186">
        <f t="shared" si="2"/>
        <v>42</v>
      </c>
    </row>
    <row r="187" spans="1:6" x14ac:dyDescent="0.25">
      <c r="A187">
        <v>22</v>
      </c>
      <c r="B187">
        <f>CalculateVacation(VLOOKUP(A187,'Employee Data'!A7:P106,16,FALSE),VLOOKUP(A187,'Employee Data'!A7:V106,22,FALSE))</f>
        <v>43</v>
      </c>
      <c r="C187">
        <v>18</v>
      </c>
      <c r="D187" s="3">
        <v>43864</v>
      </c>
      <c r="E187" s="3">
        <v>43866</v>
      </c>
      <c r="F187">
        <f t="shared" si="2"/>
        <v>25</v>
      </c>
    </row>
    <row r="188" spans="1:6" x14ac:dyDescent="0.25">
      <c r="A188">
        <v>52</v>
      </c>
      <c r="B188">
        <f>CalculateVacation(VLOOKUP(A188,'Employee Data'!A7:P106,16,FALSE),VLOOKUP(A188,'Employee Data'!A7:V106,22,FALSE))</f>
        <v>8</v>
      </c>
      <c r="C188">
        <v>1</v>
      </c>
      <c r="D188" s="3">
        <v>43662</v>
      </c>
      <c r="E188" s="3">
        <v>43977</v>
      </c>
      <c r="F188">
        <f t="shared" si="2"/>
        <v>7</v>
      </c>
    </row>
    <row r="189" spans="1:6" x14ac:dyDescent="0.25">
      <c r="A189">
        <v>58</v>
      </c>
      <c r="B189">
        <f>CalculateVacation(VLOOKUP(A189,'Employee Data'!A7:P106,16,FALSE),VLOOKUP(A189,'Employee Data'!A7:V106,22,FALSE))</f>
        <v>114</v>
      </c>
      <c r="C189">
        <v>22</v>
      </c>
      <c r="D189" s="3">
        <v>43534</v>
      </c>
      <c r="E189" s="3">
        <v>43549</v>
      </c>
      <c r="F189">
        <f t="shared" si="2"/>
        <v>92</v>
      </c>
    </row>
    <row r="190" spans="1:6" x14ac:dyDescent="0.25">
      <c r="A190">
        <v>35</v>
      </c>
      <c r="B190">
        <f>CalculateVacation(VLOOKUP(A190,'Employee Data'!A7:P106,16,FALSE),VLOOKUP(A190,'Employee Data'!A7:V106,22,FALSE))</f>
        <v>555</v>
      </c>
      <c r="C190">
        <v>6</v>
      </c>
      <c r="D190" s="3">
        <v>43611</v>
      </c>
      <c r="E190" s="3">
        <v>43615</v>
      </c>
      <c r="F190">
        <f t="shared" si="2"/>
        <v>549</v>
      </c>
    </row>
    <row r="191" spans="1:6" x14ac:dyDescent="0.25">
      <c r="A191">
        <v>54</v>
      </c>
      <c r="B191">
        <f>CalculateVacation(VLOOKUP(A191,'Employee Data'!A7:P106,16,FALSE),VLOOKUP(A191,'Employee Data'!A7:V106,22,FALSE))</f>
        <v>145.5</v>
      </c>
      <c r="C191">
        <v>25</v>
      </c>
      <c r="D191" s="3">
        <v>43942</v>
      </c>
      <c r="E191" s="3">
        <v>43967</v>
      </c>
      <c r="F191">
        <f t="shared" si="2"/>
        <v>120.5</v>
      </c>
    </row>
    <row r="192" spans="1:6" x14ac:dyDescent="0.25">
      <c r="A192">
        <v>40</v>
      </c>
      <c r="B192">
        <f>CalculateVacation(VLOOKUP(A192,'Employee Data'!A7:P106,16,FALSE),VLOOKUP(A192,'Employee Data'!A7:V106,22,FALSE))</f>
        <v>672</v>
      </c>
      <c r="C192">
        <v>6</v>
      </c>
      <c r="D192" s="3">
        <v>43488</v>
      </c>
      <c r="E192" s="3">
        <v>44024</v>
      </c>
      <c r="F192">
        <f t="shared" si="2"/>
        <v>666</v>
      </c>
    </row>
    <row r="193" spans="1:6" x14ac:dyDescent="0.25">
      <c r="A193">
        <v>60</v>
      </c>
      <c r="B193">
        <f>CalculateVacation(VLOOKUP(A193,'Employee Data'!A7:P106,16,FALSE),VLOOKUP(A193,'Employee Data'!A7:V106,22,FALSE))</f>
        <v>0</v>
      </c>
      <c r="C193">
        <v>2</v>
      </c>
      <c r="D193" s="3">
        <v>43976</v>
      </c>
      <c r="E193" s="3">
        <v>43980</v>
      </c>
      <c r="F193">
        <f t="shared" si="2"/>
        <v>-2</v>
      </c>
    </row>
    <row r="194" spans="1:6" x14ac:dyDescent="0.25">
      <c r="A194">
        <v>66</v>
      </c>
      <c r="B194">
        <f>CalculateVacation(VLOOKUP(A194,'Employee Data'!A7:P106,16,FALSE),VLOOKUP(A194,'Employee Data'!A7:V106,22,FALSE))</f>
        <v>0</v>
      </c>
      <c r="C194">
        <v>27</v>
      </c>
      <c r="D194" s="3">
        <v>43508</v>
      </c>
      <c r="E194" s="3">
        <v>43587</v>
      </c>
      <c r="F194">
        <f t="shared" si="2"/>
        <v>-27</v>
      </c>
    </row>
    <row r="195" spans="1:6" x14ac:dyDescent="0.25">
      <c r="A195">
        <v>38</v>
      </c>
      <c r="B195">
        <f>CalculateVacation(VLOOKUP(A195,'Employee Data'!A7:P106,16,FALSE),VLOOKUP(A195,'Employee Data'!A7:V106,22,FALSE))</f>
        <v>387.5</v>
      </c>
      <c r="C195">
        <v>7</v>
      </c>
      <c r="D195" s="3">
        <v>43956</v>
      </c>
      <c r="E195" s="3">
        <v>43959</v>
      </c>
      <c r="F195">
        <f t="shared" si="2"/>
        <v>380.5</v>
      </c>
    </row>
    <row r="196" spans="1:6" x14ac:dyDescent="0.25">
      <c r="A196">
        <v>34</v>
      </c>
      <c r="B196">
        <f>CalculateVacation(VLOOKUP(A196,'Employee Data'!A7:P106,16,FALSE),VLOOKUP(A196,'Employee Data'!A7:V106,22,FALSE))</f>
        <v>591</v>
      </c>
      <c r="C196">
        <v>23</v>
      </c>
      <c r="D196" s="3">
        <v>43569</v>
      </c>
      <c r="E196" s="3">
        <v>43577</v>
      </c>
      <c r="F196">
        <f t="shared" si="2"/>
        <v>568</v>
      </c>
    </row>
    <row r="197" spans="1:6" x14ac:dyDescent="0.25">
      <c r="A197">
        <v>83</v>
      </c>
      <c r="B197">
        <f>CalculateVacation(VLOOKUP(A197,'Employee Data'!A7:P106,16,FALSE),VLOOKUP(A197,'Employee Data'!A7:V106,22,FALSE))</f>
        <v>405</v>
      </c>
      <c r="C197">
        <v>18</v>
      </c>
      <c r="D197" s="3">
        <v>44098</v>
      </c>
      <c r="E197" s="3">
        <v>44100</v>
      </c>
      <c r="F197">
        <f t="shared" si="2"/>
        <v>387</v>
      </c>
    </row>
    <row r="198" spans="1:6" x14ac:dyDescent="0.25">
      <c r="A198">
        <v>78</v>
      </c>
      <c r="B198">
        <f>CalculateVacation(VLOOKUP(A198,'Employee Data'!A7:P106,16,FALSE),VLOOKUP(A198,'Employee Data'!A7:V106,22,FALSE))</f>
        <v>0</v>
      </c>
      <c r="C198">
        <v>22</v>
      </c>
      <c r="D198" s="3">
        <v>43552</v>
      </c>
      <c r="E198" s="3">
        <v>43906</v>
      </c>
      <c r="F198">
        <f t="shared" si="2"/>
        <v>-22</v>
      </c>
    </row>
    <row r="199" spans="1:6" x14ac:dyDescent="0.25">
      <c r="A199">
        <v>45</v>
      </c>
      <c r="B199">
        <f>CalculateVacation(VLOOKUP(A199,'Employee Data'!A7:P106,16,FALSE),VLOOKUP(A199,'Employee Data'!A7:V106,22,FALSE))</f>
        <v>45</v>
      </c>
      <c r="C199">
        <v>27</v>
      </c>
      <c r="D199" s="3">
        <v>43835</v>
      </c>
      <c r="E199" s="3">
        <v>43838</v>
      </c>
      <c r="F199">
        <f t="shared" si="2"/>
        <v>18</v>
      </c>
    </row>
    <row r="200" spans="1:6" x14ac:dyDescent="0.25">
      <c r="A200">
        <v>52</v>
      </c>
      <c r="B200">
        <f>CalculateVacation(VLOOKUP(A200,'Employee Data'!A7:P106,16,FALSE),VLOOKUP(A200,'Employee Data'!A7:V106,22,FALSE))</f>
        <v>8</v>
      </c>
      <c r="C200">
        <v>14</v>
      </c>
      <c r="D200" s="3">
        <v>43581</v>
      </c>
      <c r="E200" s="3">
        <v>43928</v>
      </c>
      <c r="F200">
        <f t="shared" ref="F200:F263" si="3">B200-C200</f>
        <v>-6</v>
      </c>
    </row>
    <row r="201" spans="1:6" x14ac:dyDescent="0.25">
      <c r="A201">
        <v>64</v>
      </c>
      <c r="B201">
        <f>CalculateVacation(VLOOKUP(A201,'Employee Data'!A7:P106,16,FALSE),VLOOKUP(A201,'Employee Data'!A7:V106,22,FALSE))</f>
        <v>39</v>
      </c>
      <c r="C201">
        <v>6</v>
      </c>
      <c r="D201" s="3">
        <v>43685</v>
      </c>
      <c r="E201" s="3">
        <v>43687</v>
      </c>
      <c r="F201">
        <f t="shared" si="3"/>
        <v>33</v>
      </c>
    </row>
    <row r="202" spans="1:6" x14ac:dyDescent="0.25">
      <c r="A202">
        <v>84</v>
      </c>
      <c r="B202">
        <f>CalculateVacation(VLOOKUP(A202,'Employee Data'!A7:P106,16,FALSE),VLOOKUP(A202,'Employee Data'!A7:V106,22,FALSE))</f>
        <v>615</v>
      </c>
      <c r="C202">
        <v>27</v>
      </c>
      <c r="D202" s="3">
        <v>44087</v>
      </c>
      <c r="E202" s="3">
        <v>44091</v>
      </c>
      <c r="F202">
        <f t="shared" si="3"/>
        <v>588</v>
      </c>
    </row>
    <row r="203" spans="1:6" x14ac:dyDescent="0.25">
      <c r="A203">
        <v>13</v>
      </c>
      <c r="B203">
        <f>CalculateVacation(VLOOKUP(A203,'Employee Data'!A7:P106,16,FALSE),VLOOKUP(A203,'Employee Data'!A7:V106,22,FALSE))</f>
        <v>633</v>
      </c>
      <c r="C203">
        <v>4</v>
      </c>
      <c r="D203" s="3">
        <v>43719</v>
      </c>
      <c r="E203" s="3">
        <v>43722</v>
      </c>
      <c r="F203">
        <f t="shared" si="3"/>
        <v>629</v>
      </c>
    </row>
    <row r="204" spans="1:6" x14ac:dyDescent="0.25">
      <c r="A204">
        <v>95</v>
      </c>
      <c r="B204">
        <f>CalculateVacation(VLOOKUP(A204,'Employee Data'!A7:P106,16,FALSE),VLOOKUP(A204,'Employee Data'!A7:V106,22,FALSE))</f>
        <v>618</v>
      </c>
      <c r="C204">
        <v>2</v>
      </c>
      <c r="D204" s="3">
        <v>44089</v>
      </c>
      <c r="E204" s="3">
        <v>44094</v>
      </c>
      <c r="F204">
        <f t="shared" si="3"/>
        <v>616</v>
      </c>
    </row>
    <row r="205" spans="1:6" x14ac:dyDescent="0.25">
      <c r="A205">
        <v>62</v>
      </c>
      <c r="B205">
        <f>CalculateVacation(VLOOKUP(A205,'Employee Data'!A7:P106,16,FALSE),VLOOKUP(A205,'Employee Data'!A7:V106,22,FALSE))</f>
        <v>651</v>
      </c>
      <c r="C205">
        <v>8</v>
      </c>
      <c r="D205" s="3">
        <v>43849</v>
      </c>
      <c r="E205" s="3">
        <v>43872</v>
      </c>
      <c r="F205">
        <f t="shared" si="3"/>
        <v>643</v>
      </c>
    </row>
    <row r="206" spans="1:6" x14ac:dyDescent="0.25">
      <c r="A206">
        <v>90</v>
      </c>
      <c r="B206">
        <f>CalculateVacation(VLOOKUP(A206,'Employee Data'!A7:P106,16,FALSE),VLOOKUP(A206,'Employee Data'!A7:V106,22,FALSE))</f>
        <v>154.5</v>
      </c>
      <c r="C206">
        <v>12</v>
      </c>
      <c r="D206" s="3">
        <v>43721</v>
      </c>
      <c r="E206" s="3">
        <v>44101</v>
      </c>
      <c r="F206">
        <f t="shared" si="3"/>
        <v>142.5</v>
      </c>
    </row>
    <row r="207" spans="1:6" x14ac:dyDescent="0.25">
      <c r="A207">
        <v>50</v>
      </c>
      <c r="B207">
        <f>CalculateVacation(VLOOKUP(A207,'Employee Data'!A7:P106,16,FALSE),VLOOKUP(A207,'Employee Data'!A7:V106,22,FALSE))</f>
        <v>144</v>
      </c>
      <c r="C207">
        <v>22</v>
      </c>
      <c r="D207" s="3">
        <v>44081</v>
      </c>
      <c r="E207" s="3">
        <v>44088</v>
      </c>
      <c r="F207">
        <f t="shared" si="3"/>
        <v>122</v>
      </c>
    </row>
    <row r="208" spans="1:6" x14ac:dyDescent="0.25">
      <c r="A208">
        <v>53</v>
      </c>
      <c r="B208">
        <f>CalculateVacation(VLOOKUP(A208,'Employee Data'!A7:P106,16,FALSE),VLOOKUP(A208,'Employee Data'!A7:V106,22,FALSE))</f>
        <v>630</v>
      </c>
      <c r="C208">
        <v>8</v>
      </c>
      <c r="D208" s="3">
        <v>43756</v>
      </c>
      <c r="E208" s="3">
        <v>43987</v>
      </c>
      <c r="F208">
        <f t="shared" si="3"/>
        <v>622</v>
      </c>
    </row>
    <row r="209" spans="1:6" x14ac:dyDescent="0.25">
      <c r="A209">
        <v>25</v>
      </c>
      <c r="B209">
        <f>CalculateVacation(VLOOKUP(A209,'Employee Data'!A7:P106,16,FALSE),VLOOKUP(A209,'Employee Data'!A7:V106,22,FALSE))</f>
        <v>52</v>
      </c>
      <c r="C209">
        <v>16</v>
      </c>
      <c r="D209" s="3">
        <v>43906</v>
      </c>
      <c r="E209" s="3">
        <v>44067</v>
      </c>
      <c r="F209">
        <f t="shared" si="3"/>
        <v>36</v>
      </c>
    </row>
    <row r="210" spans="1:6" x14ac:dyDescent="0.25">
      <c r="A210">
        <v>32</v>
      </c>
      <c r="B210">
        <f>CalculateVacation(VLOOKUP(A210,'Employee Data'!A7:P106,16,FALSE),VLOOKUP(A210,'Employee Data'!A7:V106,22,FALSE))</f>
        <v>238</v>
      </c>
      <c r="C210">
        <v>15</v>
      </c>
      <c r="D210" s="3">
        <v>43713</v>
      </c>
      <c r="E210" s="3">
        <v>43753</v>
      </c>
      <c r="F210">
        <f t="shared" si="3"/>
        <v>223</v>
      </c>
    </row>
    <row r="211" spans="1:6" x14ac:dyDescent="0.25">
      <c r="A211">
        <v>66</v>
      </c>
      <c r="B211">
        <f>CalculateVacation(VLOOKUP(A211,'Employee Data'!A7:P106,16,FALSE),VLOOKUP(A211,'Employee Data'!A7:V106,22,FALSE))</f>
        <v>0</v>
      </c>
      <c r="C211">
        <v>29</v>
      </c>
      <c r="D211" s="3">
        <v>44080</v>
      </c>
      <c r="E211" s="3">
        <v>44090</v>
      </c>
      <c r="F211">
        <f t="shared" si="3"/>
        <v>-29</v>
      </c>
    </row>
    <row r="212" spans="1:6" x14ac:dyDescent="0.25">
      <c r="A212">
        <v>5</v>
      </c>
      <c r="B212">
        <f>CalculateVacation(VLOOKUP(A212,'Employee Data'!A7:P106,16,FALSE),VLOOKUP(A212,'Employee Data'!A7:V106,22,FALSE))</f>
        <v>417.5</v>
      </c>
      <c r="C212">
        <v>23</v>
      </c>
      <c r="D212" s="3">
        <v>43592</v>
      </c>
      <c r="E212" s="3">
        <v>43682</v>
      </c>
      <c r="F212">
        <f t="shared" si="3"/>
        <v>394.5</v>
      </c>
    </row>
    <row r="213" spans="1:6" x14ac:dyDescent="0.25">
      <c r="A213">
        <v>14</v>
      </c>
      <c r="B213">
        <f>CalculateVacation(VLOOKUP(A213,'Employee Data'!A7:P106,16,FALSE),VLOOKUP(A213,'Employee Data'!A7:V106,22,FALSE))</f>
        <v>0</v>
      </c>
      <c r="C213">
        <v>14</v>
      </c>
      <c r="D213" s="3">
        <v>44008</v>
      </c>
      <c r="E213" s="3">
        <v>44015</v>
      </c>
      <c r="F213">
        <f t="shared" si="3"/>
        <v>-14</v>
      </c>
    </row>
    <row r="214" spans="1:6" x14ac:dyDescent="0.25">
      <c r="A214">
        <v>36</v>
      </c>
      <c r="B214">
        <f>CalculateVacation(VLOOKUP(A214,'Employee Data'!A7:P106,16,FALSE),VLOOKUP(A214,'Employee Data'!A7:V106,22,FALSE))</f>
        <v>675</v>
      </c>
      <c r="C214">
        <v>30</v>
      </c>
      <c r="D214" s="3">
        <v>43854</v>
      </c>
      <c r="E214" s="3">
        <v>43856</v>
      </c>
      <c r="F214">
        <f t="shared" si="3"/>
        <v>645</v>
      </c>
    </row>
    <row r="215" spans="1:6" x14ac:dyDescent="0.25">
      <c r="A215">
        <v>10</v>
      </c>
      <c r="B215">
        <f>CalculateVacation(VLOOKUP(A215,'Employee Data'!A7:P106,16,FALSE),VLOOKUP(A215,'Employee Data'!A7:V106,22,FALSE))</f>
        <v>150</v>
      </c>
      <c r="C215">
        <v>9</v>
      </c>
      <c r="D215" s="3">
        <v>44093</v>
      </c>
      <c r="E215" s="3">
        <v>44095</v>
      </c>
      <c r="F215">
        <f t="shared" si="3"/>
        <v>141</v>
      </c>
    </row>
    <row r="216" spans="1:6" x14ac:dyDescent="0.25">
      <c r="A216">
        <v>89</v>
      </c>
      <c r="B216">
        <f>CalculateVacation(VLOOKUP(A216,'Employee Data'!A7:P106,16,FALSE),VLOOKUP(A216,'Employee Data'!A7:V106,22,FALSE))</f>
        <v>126</v>
      </c>
      <c r="C216">
        <v>29</v>
      </c>
      <c r="D216" s="3">
        <v>43625</v>
      </c>
      <c r="E216" s="3">
        <v>44027</v>
      </c>
      <c r="F216">
        <f t="shared" si="3"/>
        <v>97</v>
      </c>
    </row>
    <row r="217" spans="1:6" x14ac:dyDescent="0.25">
      <c r="A217">
        <v>48</v>
      </c>
      <c r="B217">
        <f>CalculateVacation(VLOOKUP(A217,'Employee Data'!A7:P106,16,FALSE),VLOOKUP(A217,'Employee Data'!A7:V106,22,FALSE))</f>
        <v>174</v>
      </c>
      <c r="C217">
        <v>20</v>
      </c>
      <c r="D217" s="3">
        <v>43988</v>
      </c>
      <c r="E217" s="3">
        <v>43993</v>
      </c>
      <c r="F217">
        <f t="shared" si="3"/>
        <v>154</v>
      </c>
    </row>
    <row r="218" spans="1:6" x14ac:dyDescent="0.25">
      <c r="A218">
        <v>78</v>
      </c>
      <c r="B218">
        <f>CalculateVacation(VLOOKUP(A218,'Employee Data'!A7:P106,16,FALSE),VLOOKUP(A218,'Employee Data'!A7:V106,22,FALSE))</f>
        <v>0</v>
      </c>
      <c r="C218">
        <v>22</v>
      </c>
      <c r="D218" s="3">
        <v>44079</v>
      </c>
      <c r="E218" s="3">
        <v>44088</v>
      </c>
      <c r="F218">
        <f t="shared" si="3"/>
        <v>-22</v>
      </c>
    </row>
    <row r="219" spans="1:6" x14ac:dyDescent="0.25">
      <c r="A219">
        <v>42</v>
      </c>
      <c r="B219">
        <f>CalculateVacation(VLOOKUP(A219,'Employee Data'!A7:P106,16,FALSE),VLOOKUP(A219,'Employee Data'!A7:V106,22,FALSE))</f>
        <v>669</v>
      </c>
      <c r="C219">
        <v>2</v>
      </c>
      <c r="D219" s="3">
        <v>44024</v>
      </c>
      <c r="E219" s="3">
        <v>44034</v>
      </c>
      <c r="F219">
        <f t="shared" si="3"/>
        <v>667</v>
      </c>
    </row>
    <row r="220" spans="1:6" x14ac:dyDescent="0.25">
      <c r="A220">
        <v>61</v>
      </c>
      <c r="B220">
        <f>CalculateVacation(VLOOKUP(A220,'Employee Data'!A7:P106,16,FALSE),VLOOKUP(A220,'Employee Data'!A7:V106,22,FALSE))</f>
        <v>126</v>
      </c>
      <c r="C220">
        <v>23</v>
      </c>
      <c r="D220" s="3">
        <v>43850</v>
      </c>
      <c r="E220" s="3">
        <v>43859</v>
      </c>
      <c r="F220">
        <f t="shared" si="3"/>
        <v>103</v>
      </c>
    </row>
    <row r="221" spans="1:6" x14ac:dyDescent="0.25">
      <c r="A221">
        <v>60</v>
      </c>
      <c r="B221">
        <f>CalculateVacation(VLOOKUP(A221,'Employee Data'!A7:P106,16,FALSE),VLOOKUP(A221,'Employee Data'!A7:V106,22,FALSE))</f>
        <v>0</v>
      </c>
      <c r="C221">
        <v>10</v>
      </c>
      <c r="D221" s="3">
        <v>43868</v>
      </c>
      <c r="E221" s="3">
        <v>44021</v>
      </c>
      <c r="F221">
        <f t="shared" si="3"/>
        <v>-10</v>
      </c>
    </row>
    <row r="222" spans="1:6" x14ac:dyDescent="0.25">
      <c r="A222">
        <v>82</v>
      </c>
      <c r="B222">
        <f>CalculateVacation(VLOOKUP(A222,'Employee Data'!A7:P106,16,FALSE),VLOOKUP(A222,'Employee Data'!A7:V106,22,FALSE))</f>
        <v>0</v>
      </c>
      <c r="C222">
        <v>21</v>
      </c>
      <c r="D222" s="3">
        <v>43661</v>
      </c>
      <c r="E222" s="3">
        <v>43765</v>
      </c>
      <c r="F222">
        <f t="shared" si="3"/>
        <v>-21</v>
      </c>
    </row>
    <row r="223" spans="1:6" x14ac:dyDescent="0.25">
      <c r="A223">
        <v>43</v>
      </c>
      <c r="B223">
        <f>CalculateVacation(VLOOKUP(A223,'Employee Data'!A7:P106,16,FALSE),VLOOKUP(A223,'Employee Data'!A7:V106,22,FALSE))</f>
        <v>52</v>
      </c>
      <c r="C223">
        <v>11</v>
      </c>
      <c r="D223" s="3">
        <v>43493</v>
      </c>
      <c r="E223" s="3">
        <v>43801</v>
      </c>
      <c r="F223">
        <f t="shared" si="3"/>
        <v>41</v>
      </c>
    </row>
    <row r="224" spans="1:6" x14ac:dyDescent="0.25">
      <c r="A224">
        <v>26</v>
      </c>
      <c r="B224">
        <f>CalculateVacation(VLOOKUP(A224,'Employee Data'!A7:P106,16,FALSE),VLOOKUP(A224,'Employee Data'!A7:V106,22,FALSE))</f>
        <v>12.75</v>
      </c>
      <c r="C224">
        <v>12</v>
      </c>
      <c r="D224" s="3">
        <v>43798</v>
      </c>
      <c r="E224" s="3">
        <v>43805</v>
      </c>
      <c r="F224">
        <f t="shared" si="3"/>
        <v>0.75</v>
      </c>
    </row>
    <row r="225" spans="1:6" x14ac:dyDescent="0.25">
      <c r="A225">
        <v>11</v>
      </c>
      <c r="B225">
        <f>CalculateVacation(VLOOKUP(A225,'Employee Data'!A7:P106,16,FALSE),VLOOKUP(A225,'Employee Data'!A7:V106,22,FALSE))</f>
        <v>417.5</v>
      </c>
      <c r="C225">
        <v>6</v>
      </c>
      <c r="D225" s="3">
        <v>44041</v>
      </c>
      <c r="E225" s="3">
        <v>44051</v>
      </c>
      <c r="F225">
        <f t="shared" si="3"/>
        <v>411.5</v>
      </c>
    </row>
    <row r="226" spans="1:6" x14ac:dyDescent="0.25">
      <c r="A226">
        <v>69</v>
      </c>
      <c r="B226">
        <f>CalculateVacation(VLOOKUP(A226,'Employee Data'!A7:P106,16,FALSE),VLOOKUP(A226,'Employee Data'!A7:V106,22,FALSE))</f>
        <v>250</v>
      </c>
      <c r="C226">
        <v>23</v>
      </c>
      <c r="D226" s="3">
        <v>43545</v>
      </c>
      <c r="E226" s="3">
        <v>43881</v>
      </c>
      <c r="F226">
        <f t="shared" si="3"/>
        <v>227</v>
      </c>
    </row>
    <row r="227" spans="1:6" x14ac:dyDescent="0.25">
      <c r="A227">
        <v>41</v>
      </c>
      <c r="B227">
        <f>CalculateVacation(VLOOKUP(A227,'Employee Data'!A7:P106,16,FALSE),VLOOKUP(A227,'Employee Data'!A7:V106,22,FALSE))</f>
        <v>365</v>
      </c>
      <c r="C227">
        <v>1</v>
      </c>
      <c r="D227" s="3">
        <v>43551</v>
      </c>
      <c r="E227" s="3">
        <v>44072</v>
      </c>
      <c r="F227">
        <f t="shared" si="3"/>
        <v>364</v>
      </c>
    </row>
    <row r="228" spans="1:6" x14ac:dyDescent="0.25">
      <c r="A228">
        <v>84</v>
      </c>
      <c r="B228">
        <f>CalculateVacation(VLOOKUP(A228,'Employee Data'!A7:P106,16,FALSE),VLOOKUP(A228,'Employee Data'!A7:V106,22,FALSE))</f>
        <v>615</v>
      </c>
      <c r="C228">
        <v>29</v>
      </c>
      <c r="D228" s="3">
        <v>43765</v>
      </c>
      <c r="E228" s="3">
        <v>43768</v>
      </c>
      <c r="F228">
        <f t="shared" si="3"/>
        <v>586</v>
      </c>
    </row>
    <row r="229" spans="1:6" x14ac:dyDescent="0.25">
      <c r="A229">
        <v>92</v>
      </c>
      <c r="B229">
        <f>CalculateVacation(VLOOKUP(A229,'Employee Data'!A7:P106,16,FALSE),VLOOKUP(A229,'Employee Data'!A7:V106,22,FALSE))</f>
        <v>112.5</v>
      </c>
      <c r="C229">
        <v>4</v>
      </c>
      <c r="D229" s="3">
        <v>43668</v>
      </c>
      <c r="E229" s="3">
        <v>43676</v>
      </c>
      <c r="F229">
        <f t="shared" si="3"/>
        <v>108.5</v>
      </c>
    </row>
    <row r="230" spans="1:6" x14ac:dyDescent="0.25">
      <c r="A230">
        <v>53</v>
      </c>
      <c r="B230">
        <f>CalculateVacation(VLOOKUP(A230,'Employee Data'!A7:P106,16,FALSE),VLOOKUP(A230,'Employee Data'!A7:V106,22,FALSE))</f>
        <v>630</v>
      </c>
      <c r="C230">
        <v>3</v>
      </c>
      <c r="D230" s="3">
        <v>43883</v>
      </c>
      <c r="E230" s="3">
        <v>43892</v>
      </c>
      <c r="F230">
        <f t="shared" si="3"/>
        <v>627</v>
      </c>
    </row>
    <row r="231" spans="1:6" x14ac:dyDescent="0.25">
      <c r="A231">
        <v>23</v>
      </c>
      <c r="B231">
        <f>CalculateVacation(VLOOKUP(A231,'Employee Data'!A7:P106,16,FALSE),VLOOKUP(A231,'Employee Data'!A7:V106,22,FALSE))</f>
        <v>666</v>
      </c>
      <c r="C231">
        <v>4</v>
      </c>
      <c r="D231" s="3">
        <v>43769</v>
      </c>
      <c r="E231" s="3">
        <v>44071</v>
      </c>
      <c r="F231">
        <f t="shared" si="3"/>
        <v>662</v>
      </c>
    </row>
    <row r="232" spans="1:6" x14ac:dyDescent="0.25">
      <c r="A232">
        <v>77</v>
      </c>
      <c r="B232">
        <f>CalculateVacation(VLOOKUP(A232,'Employee Data'!A7:P106,16,FALSE),VLOOKUP(A232,'Employee Data'!A7:V106,22,FALSE))</f>
        <v>437.5</v>
      </c>
      <c r="C232">
        <v>18</v>
      </c>
      <c r="D232" s="3">
        <v>43790</v>
      </c>
      <c r="E232" s="3">
        <v>43911</v>
      </c>
      <c r="F232">
        <f t="shared" si="3"/>
        <v>419.5</v>
      </c>
    </row>
    <row r="233" spans="1:6" x14ac:dyDescent="0.25">
      <c r="A233">
        <v>94</v>
      </c>
      <c r="B233">
        <f>CalculateVacation(VLOOKUP(A233,'Employee Data'!A7:P106,16,FALSE),VLOOKUP(A233,'Employee Data'!A7:V106,22,FALSE))</f>
        <v>130.5</v>
      </c>
      <c r="C233">
        <v>14</v>
      </c>
      <c r="D233" s="3">
        <v>43939</v>
      </c>
      <c r="E233" s="3">
        <v>43941</v>
      </c>
      <c r="F233">
        <f t="shared" si="3"/>
        <v>116.5</v>
      </c>
    </row>
    <row r="234" spans="1:6" x14ac:dyDescent="0.25">
      <c r="A234">
        <v>17</v>
      </c>
      <c r="B234">
        <f>CalculateVacation(VLOOKUP(A234,'Employee Data'!A7:P106,16,FALSE),VLOOKUP(A234,'Employee Data'!A7:V106,22,FALSE))</f>
        <v>30</v>
      </c>
      <c r="C234">
        <v>13</v>
      </c>
      <c r="D234" s="3">
        <v>43963</v>
      </c>
      <c r="E234" s="3">
        <v>43969</v>
      </c>
      <c r="F234">
        <f t="shared" si="3"/>
        <v>17</v>
      </c>
    </row>
    <row r="235" spans="1:6" x14ac:dyDescent="0.25">
      <c r="A235">
        <v>99</v>
      </c>
      <c r="B235">
        <f>CalculateVacation(VLOOKUP(A235,'Employee Data'!A7:P106,16,FALSE),VLOOKUP(A235,'Employee Data'!A7:V106,22,FALSE))</f>
        <v>564</v>
      </c>
      <c r="C235">
        <v>30</v>
      </c>
      <c r="D235" s="3">
        <v>44049</v>
      </c>
      <c r="E235" s="3">
        <v>44055</v>
      </c>
      <c r="F235">
        <f t="shared" si="3"/>
        <v>534</v>
      </c>
    </row>
    <row r="236" spans="1:6" x14ac:dyDescent="0.25">
      <c r="A236">
        <v>61</v>
      </c>
      <c r="B236">
        <f>CalculateVacation(VLOOKUP(A236,'Employee Data'!A7:P106,16,FALSE),VLOOKUP(A236,'Employee Data'!A7:V106,22,FALSE))</f>
        <v>126</v>
      </c>
      <c r="C236">
        <v>23</v>
      </c>
      <c r="D236" s="3">
        <v>43647</v>
      </c>
      <c r="E236" s="3">
        <v>44024</v>
      </c>
      <c r="F236">
        <f t="shared" si="3"/>
        <v>103</v>
      </c>
    </row>
    <row r="237" spans="1:6" x14ac:dyDescent="0.25">
      <c r="A237">
        <v>72</v>
      </c>
      <c r="B237">
        <f>CalculateVacation(VLOOKUP(A237,'Employee Data'!A7:P106,16,FALSE),VLOOKUP(A237,'Employee Data'!A7:V106,22,FALSE))</f>
        <v>537</v>
      </c>
      <c r="C237">
        <v>28</v>
      </c>
      <c r="D237" s="3">
        <v>43750</v>
      </c>
      <c r="E237" s="3">
        <v>43815</v>
      </c>
      <c r="F237">
        <f t="shared" si="3"/>
        <v>509</v>
      </c>
    </row>
    <row r="238" spans="1:6" x14ac:dyDescent="0.25">
      <c r="A238">
        <v>31</v>
      </c>
      <c r="B238">
        <f>CalculateVacation(VLOOKUP(A238,'Employee Data'!A7:P106,16,FALSE),VLOOKUP(A238,'Employee Data'!A7:V106,22,FALSE))</f>
        <v>570</v>
      </c>
      <c r="C238">
        <v>5</v>
      </c>
      <c r="D238" s="3">
        <v>43710</v>
      </c>
      <c r="E238" s="3">
        <v>43718</v>
      </c>
      <c r="F238">
        <f t="shared" si="3"/>
        <v>565</v>
      </c>
    </row>
    <row r="239" spans="1:6" x14ac:dyDescent="0.25">
      <c r="A239">
        <v>75</v>
      </c>
      <c r="B239">
        <f>CalculateVacation(VLOOKUP(A239,'Employee Data'!A7:P106,16,FALSE),VLOOKUP(A239,'Employee Data'!A7:V106,22,FALSE))</f>
        <v>407.5</v>
      </c>
      <c r="C239">
        <v>25</v>
      </c>
      <c r="D239" s="3">
        <v>43523</v>
      </c>
      <c r="E239" s="3">
        <v>44020</v>
      </c>
      <c r="F239">
        <f t="shared" si="3"/>
        <v>382.5</v>
      </c>
    </row>
    <row r="240" spans="1:6" x14ac:dyDescent="0.25">
      <c r="A240">
        <v>72</v>
      </c>
      <c r="B240">
        <f>CalculateVacation(VLOOKUP(A240,'Employee Data'!A7:P106,16,FALSE),VLOOKUP(A240,'Employee Data'!A7:V106,22,FALSE))</f>
        <v>537</v>
      </c>
      <c r="C240">
        <v>27</v>
      </c>
      <c r="D240" s="3">
        <v>43645</v>
      </c>
      <c r="E240" s="3">
        <v>43958</v>
      </c>
      <c r="F240">
        <f t="shared" si="3"/>
        <v>510</v>
      </c>
    </row>
    <row r="241" spans="1:6" x14ac:dyDescent="0.25">
      <c r="A241">
        <v>51</v>
      </c>
      <c r="B241">
        <f>CalculateVacation(VLOOKUP(A241,'Employee Data'!A7:P106,16,FALSE),VLOOKUP(A241,'Employee Data'!A7:V106,22,FALSE))</f>
        <v>0</v>
      </c>
      <c r="C241">
        <v>1</v>
      </c>
      <c r="D241" s="3">
        <v>43714</v>
      </c>
      <c r="E241" s="3">
        <v>43803</v>
      </c>
      <c r="F241">
        <f t="shared" si="3"/>
        <v>-1</v>
      </c>
    </row>
    <row r="242" spans="1:6" x14ac:dyDescent="0.25">
      <c r="A242">
        <v>51</v>
      </c>
      <c r="B242">
        <f>CalculateVacation(VLOOKUP(A242,'Employee Data'!A7:P106,16,FALSE),VLOOKUP(A242,'Employee Data'!A7:V106,22,FALSE))</f>
        <v>0</v>
      </c>
      <c r="C242">
        <v>11</v>
      </c>
      <c r="D242" s="3">
        <v>43942</v>
      </c>
      <c r="E242" s="3">
        <v>43943</v>
      </c>
      <c r="F242">
        <f t="shared" si="3"/>
        <v>-11</v>
      </c>
    </row>
    <row r="243" spans="1:6" x14ac:dyDescent="0.25">
      <c r="A243">
        <v>14</v>
      </c>
      <c r="B243">
        <f>CalculateVacation(VLOOKUP(A243,'Employee Data'!A7:P106,16,FALSE),VLOOKUP(A243,'Employee Data'!A7:V106,22,FALSE))</f>
        <v>0</v>
      </c>
      <c r="C243">
        <v>23</v>
      </c>
      <c r="D243" s="3">
        <v>43479</v>
      </c>
      <c r="E243" s="3">
        <v>44053</v>
      </c>
      <c r="F243">
        <f t="shared" si="3"/>
        <v>-23</v>
      </c>
    </row>
    <row r="244" spans="1:6" x14ac:dyDescent="0.25">
      <c r="A244">
        <v>64</v>
      </c>
      <c r="B244">
        <f>CalculateVacation(VLOOKUP(A244,'Employee Data'!A7:P106,16,FALSE),VLOOKUP(A244,'Employee Data'!A7:V106,22,FALSE))</f>
        <v>39</v>
      </c>
      <c r="C244">
        <v>1</v>
      </c>
      <c r="D244" s="3">
        <v>43788</v>
      </c>
      <c r="E244" s="3">
        <v>43985</v>
      </c>
      <c r="F244">
        <f t="shared" si="3"/>
        <v>38</v>
      </c>
    </row>
    <row r="245" spans="1:6" x14ac:dyDescent="0.25">
      <c r="A245">
        <v>11</v>
      </c>
      <c r="B245">
        <f>CalculateVacation(VLOOKUP(A245,'Employee Data'!A7:P106,16,FALSE),VLOOKUP(A245,'Employee Data'!A7:V106,22,FALSE))</f>
        <v>417.5</v>
      </c>
      <c r="C245">
        <v>5</v>
      </c>
      <c r="D245" s="3">
        <v>44062</v>
      </c>
      <c r="E245" s="3">
        <v>44100</v>
      </c>
      <c r="F245">
        <f t="shared" si="3"/>
        <v>412.5</v>
      </c>
    </row>
    <row r="246" spans="1:6" x14ac:dyDescent="0.25">
      <c r="A246">
        <v>56</v>
      </c>
      <c r="B246">
        <f>CalculateVacation(VLOOKUP(A246,'Employee Data'!A7:P106,16,FALSE),VLOOKUP(A246,'Employee Data'!A7:V106,22,FALSE))</f>
        <v>362.5</v>
      </c>
      <c r="C246">
        <v>5</v>
      </c>
      <c r="D246" s="3">
        <v>44035</v>
      </c>
      <c r="E246" s="3">
        <v>44038</v>
      </c>
      <c r="F246">
        <f t="shared" si="3"/>
        <v>357.5</v>
      </c>
    </row>
    <row r="247" spans="1:6" x14ac:dyDescent="0.25">
      <c r="A247">
        <v>78</v>
      </c>
      <c r="B247">
        <f>CalculateVacation(VLOOKUP(A247,'Employee Data'!A7:P106,16,FALSE),VLOOKUP(A247,'Employee Data'!A7:V106,22,FALSE))</f>
        <v>0</v>
      </c>
      <c r="C247">
        <v>25</v>
      </c>
      <c r="D247" s="3">
        <v>43970</v>
      </c>
      <c r="E247" s="3">
        <v>44034</v>
      </c>
      <c r="F247">
        <f t="shared" si="3"/>
        <v>-25</v>
      </c>
    </row>
    <row r="248" spans="1:6" x14ac:dyDescent="0.25">
      <c r="A248">
        <v>38</v>
      </c>
      <c r="B248">
        <f>CalculateVacation(VLOOKUP(A248,'Employee Data'!A7:P106,16,FALSE),VLOOKUP(A248,'Employee Data'!A7:V106,22,FALSE))</f>
        <v>387.5</v>
      </c>
      <c r="C248">
        <v>3</v>
      </c>
      <c r="D248" s="3">
        <v>43598</v>
      </c>
      <c r="E248" s="3">
        <v>44012</v>
      </c>
      <c r="F248">
        <f t="shared" si="3"/>
        <v>384.5</v>
      </c>
    </row>
    <row r="249" spans="1:6" x14ac:dyDescent="0.25">
      <c r="A249">
        <v>93</v>
      </c>
      <c r="B249">
        <f>CalculateVacation(VLOOKUP(A249,'Employee Data'!A7:P106,16,FALSE),VLOOKUP(A249,'Employee Data'!A7:V106,22,FALSE))</f>
        <v>151.5</v>
      </c>
      <c r="C249">
        <v>14</v>
      </c>
      <c r="D249" s="3">
        <v>43868</v>
      </c>
      <c r="E249" s="3">
        <v>43964</v>
      </c>
      <c r="F249">
        <f t="shared" si="3"/>
        <v>137.5</v>
      </c>
    </row>
    <row r="250" spans="1:6" x14ac:dyDescent="0.25">
      <c r="A250">
        <v>16</v>
      </c>
      <c r="B250">
        <f>CalculateVacation(VLOOKUP(A250,'Employee Data'!A7:P106,16,FALSE),VLOOKUP(A250,'Employee Data'!A7:V106,22,FALSE))</f>
        <v>240</v>
      </c>
      <c r="C250">
        <v>14</v>
      </c>
      <c r="D250" s="3">
        <v>43617</v>
      </c>
      <c r="E250" s="3">
        <v>44025</v>
      </c>
      <c r="F250">
        <f t="shared" si="3"/>
        <v>226</v>
      </c>
    </row>
    <row r="251" spans="1:6" x14ac:dyDescent="0.25">
      <c r="A251">
        <v>75</v>
      </c>
      <c r="B251">
        <f>CalculateVacation(VLOOKUP(A251,'Employee Data'!A7:P106,16,FALSE),VLOOKUP(A251,'Employee Data'!A7:V106,22,FALSE))</f>
        <v>407.5</v>
      </c>
      <c r="C251">
        <v>26</v>
      </c>
      <c r="D251" s="3">
        <v>44013</v>
      </c>
      <c r="E251" s="3">
        <v>44021</v>
      </c>
      <c r="F251">
        <f t="shared" si="3"/>
        <v>381.5</v>
      </c>
    </row>
    <row r="252" spans="1:6" x14ac:dyDescent="0.25">
      <c r="A252">
        <v>10</v>
      </c>
      <c r="B252">
        <f>CalculateVacation(VLOOKUP(A252,'Employee Data'!A7:P106,16,FALSE),VLOOKUP(A252,'Employee Data'!A7:V106,22,FALSE))</f>
        <v>150</v>
      </c>
      <c r="C252">
        <v>3</v>
      </c>
      <c r="D252" s="3">
        <v>43843</v>
      </c>
      <c r="E252" s="3">
        <v>43844</v>
      </c>
      <c r="F252">
        <f t="shared" si="3"/>
        <v>147</v>
      </c>
    </row>
    <row r="253" spans="1:6" x14ac:dyDescent="0.25">
      <c r="A253">
        <v>57</v>
      </c>
      <c r="B253">
        <f>CalculateVacation(VLOOKUP(A253,'Employee Data'!A7:P106,16,FALSE),VLOOKUP(A253,'Employee Data'!A7:V106,22,FALSE))</f>
        <v>99</v>
      </c>
      <c r="C253">
        <v>10</v>
      </c>
      <c r="D253" s="3">
        <v>44008</v>
      </c>
      <c r="E253" s="3">
        <v>44012</v>
      </c>
      <c r="F253">
        <f t="shared" si="3"/>
        <v>89</v>
      </c>
    </row>
    <row r="254" spans="1:6" x14ac:dyDescent="0.25">
      <c r="A254">
        <v>9</v>
      </c>
      <c r="B254">
        <f>CalculateVacation(VLOOKUP(A254,'Employee Data'!A7:P106,16,FALSE),VLOOKUP(A254,'Employee Data'!A7:V106,22,FALSE))</f>
        <v>36</v>
      </c>
      <c r="C254">
        <v>1</v>
      </c>
      <c r="D254" s="3">
        <v>43506</v>
      </c>
      <c r="E254" s="3">
        <v>43942</v>
      </c>
      <c r="F254">
        <f t="shared" si="3"/>
        <v>35</v>
      </c>
    </row>
    <row r="255" spans="1:6" x14ac:dyDescent="0.25">
      <c r="A255">
        <v>10</v>
      </c>
      <c r="B255">
        <f>CalculateVacation(VLOOKUP(A255,'Employee Data'!A7:P106,16,FALSE),VLOOKUP(A255,'Employee Data'!A7:V106,22,FALSE))</f>
        <v>150</v>
      </c>
      <c r="C255">
        <v>2</v>
      </c>
      <c r="D255" s="3">
        <v>43898</v>
      </c>
      <c r="E255" s="3">
        <v>44013</v>
      </c>
      <c r="F255">
        <f t="shared" si="3"/>
        <v>148</v>
      </c>
    </row>
    <row r="256" spans="1:6" x14ac:dyDescent="0.25">
      <c r="A256">
        <v>65</v>
      </c>
      <c r="B256">
        <f>CalculateVacation(VLOOKUP(A256,'Employee Data'!A7:P106,16,FALSE),VLOOKUP(A256,'Employee Data'!A7:V106,22,FALSE))</f>
        <v>112.5</v>
      </c>
      <c r="C256">
        <v>12</v>
      </c>
      <c r="D256" s="3">
        <v>44022</v>
      </c>
      <c r="E256" s="3">
        <v>44023</v>
      </c>
      <c r="F256">
        <f t="shared" si="3"/>
        <v>100.5</v>
      </c>
    </row>
    <row r="257" spans="1:6" x14ac:dyDescent="0.25">
      <c r="A257">
        <v>25</v>
      </c>
      <c r="B257">
        <f>CalculateVacation(VLOOKUP(A257,'Employee Data'!A7:P106,16,FALSE),VLOOKUP(A257,'Employee Data'!A7:V106,22,FALSE))</f>
        <v>52</v>
      </c>
      <c r="C257">
        <v>25</v>
      </c>
      <c r="D257" s="3">
        <v>43817</v>
      </c>
      <c r="E257" s="3">
        <v>43864</v>
      </c>
      <c r="F257">
        <f t="shared" si="3"/>
        <v>27</v>
      </c>
    </row>
    <row r="258" spans="1:6" x14ac:dyDescent="0.25">
      <c r="A258">
        <v>98</v>
      </c>
      <c r="B258">
        <f>CalculateVacation(VLOOKUP(A258,'Employee Data'!A7:P106,16,FALSE),VLOOKUP(A258,'Employee Data'!A7:V106,22,FALSE))</f>
        <v>648</v>
      </c>
      <c r="C258">
        <v>9</v>
      </c>
      <c r="D258" s="3">
        <v>44017</v>
      </c>
      <c r="E258" s="3">
        <v>44020</v>
      </c>
      <c r="F258">
        <f t="shared" si="3"/>
        <v>639</v>
      </c>
    </row>
    <row r="259" spans="1:6" x14ac:dyDescent="0.25">
      <c r="A259">
        <v>96</v>
      </c>
      <c r="B259">
        <f>CalculateVacation(VLOOKUP(A259,'Employee Data'!A7:P106,16,FALSE),VLOOKUP(A259,'Employee Data'!A7:V106,22,FALSE))</f>
        <v>0</v>
      </c>
      <c r="C259">
        <v>1</v>
      </c>
      <c r="D259" s="3">
        <v>43792</v>
      </c>
      <c r="E259" s="3">
        <v>44096</v>
      </c>
      <c r="F259">
        <f t="shared" si="3"/>
        <v>-1</v>
      </c>
    </row>
    <row r="260" spans="1:6" x14ac:dyDescent="0.25">
      <c r="A260">
        <v>76</v>
      </c>
      <c r="B260">
        <f>CalculateVacation(VLOOKUP(A260,'Employee Data'!A7:P106,16,FALSE),VLOOKUP(A260,'Employee Data'!A7:V106,22,FALSE))</f>
        <v>591</v>
      </c>
      <c r="C260">
        <v>1</v>
      </c>
      <c r="D260" s="3">
        <v>44025</v>
      </c>
      <c r="E260" s="3">
        <v>44101</v>
      </c>
      <c r="F260">
        <f t="shared" si="3"/>
        <v>590</v>
      </c>
    </row>
    <row r="261" spans="1:6" x14ac:dyDescent="0.25">
      <c r="A261">
        <v>44</v>
      </c>
      <c r="B261">
        <f>CalculateVacation(VLOOKUP(A261,'Employee Data'!A7:P106,16,FALSE),VLOOKUP(A261,'Employee Data'!A7:V106,22,FALSE))</f>
        <v>432.5</v>
      </c>
      <c r="C261">
        <v>2</v>
      </c>
      <c r="D261" s="3">
        <v>44027</v>
      </c>
      <c r="E261" s="3">
        <v>44037</v>
      </c>
      <c r="F261">
        <f t="shared" si="3"/>
        <v>430.5</v>
      </c>
    </row>
    <row r="262" spans="1:6" x14ac:dyDescent="0.25">
      <c r="A262">
        <v>78</v>
      </c>
      <c r="B262">
        <f>CalculateVacation(VLOOKUP(A262,'Employee Data'!A7:P106,16,FALSE),VLOOKUP(A262,'Employee Data'!A7:V106,22,FALSE))</f>
        <v>0</v>
      </c>
      <c r="C262">
        <v>9</v>
      </c>
      <c r="D262" s="3">
        <v>43765</v>
      </c>
      <c r="E262" s="3">
        <v>43890</v>
      </c>
      <c r="F262">
        <f t="shared" si="3"/>
        <v>-9</v>
      </c>
    </row>
    <row r="263" spans="1:6" x14ac:dyDescent="0.25">
      <c r="A263">
        <v>19</v>
      </c>
      <c r="B263">
        <f>CalculateVacation(VLOOKUP(A263,'Employee Data'!A7:P106,16,FALSE),VLOOKUP(A263,'Employee Data'!A7:V106,22,FALSE))</f>
        <v>13</v>
      </c>
      <c r="C263">
        <v>1</v>
      </c>
      <c r="D263" s="3">
        <v>43732</v>
      </c>
      <c r="E263" s="3">
        <v>43735</v>
      </c>
      <c r="F263">
        <f t="shared" si="3"/>
        <v>12</v>
      </c>
    </row>
    <row r="264" spans="1:6" x14ac:dyDescent="0.25">
      <c r="A264">
        <v>61</v>
      </c>
      <c r="B264">
        <f>CalculateVacation(VLOOKUP(A264,'Employee Data'!A7:P106,16,FALSE),VLOOKUP(A264,'Employee Data'!A7:V106,22,FALSE))</f>
        <v>126</v>
      </c>
      <c r="C264">
        <v>20</v>
      </c>
      <c r="D264" s="3">
        <v>43554</v>
      </c>
      <c r="E264" s="3">
        <v>43744</v>
      </c>
      <c r="F264">
        <f t="shared" ref="F264:F327" si="4">B264-C264</f>
        <v>106</v>
      </c>
    </row>
    <row r="265" spans="1:6" x14ac:dyDescent="0.25">
      <c r="A265">
        <v>13</v>
      </c>
      <c r="B265">
        <f>CalculateVacation(VLOOKUP(A265,'Employee Data'!A7:P106,16,FALSE),VLOOKUP(A265,'Employee Data'!A7:V106,22,FALSE))</f>
        <v>633</v>
      </c>
      <c r="C265">
        <v>24</v>
      </c>
      <c r="D265" s="3">
        <v>43476</v>
      </c>
      <c r="E265" s="3">
        <v>43959</v>
      </c>
      <c r="F265">
        <f t="shared" si="4"/>
        <v>609</v>
      </c>
    </row>
    <row r="266" spans="1:6" x14ac:dyDescent="0.25">
      <c r="A266">
        <v>31</v>
      </c>
      <c r="B266">
        <f>CalculateVacation(VLOOKUP(A266,'Employee Data'!A7:P106,16,FALSE),VLOOKUP(A266,'Employee Data'!A7:V106,22,FALSE))</f>
        <v>570</v>
      </c>
      <c r="C266">
        <v>15</v>
      </c>
      <c r="D266" s="3">
        <v>43659</v>
      </c>
      <c r="E266" s="3">
        <v>43720</v>
      </c>
      <c r="F266">
        <f t="shared" si="4"/>
        <v>555</v>
      </c>
    </row>
    <row r="267" spans="1:6" x14ac:dyDescent="0.25">
      <c r="A267">
        <v>58</v>
      </c>
      <c r="B267">
        <f>CalculateVacation(VLOOKUP(A267,'Employee Data'!A7:P106,16,FALSE),VLOOKUP(A267,'Employee Data'!A7:V106,22,FALSE))</f>
        <v>114</v>
      </c>
      <c r="C267">
        <v>17</v>
      </c>
      <c r="D267" s="3">
        <v>43559</v>
      </c>
      <c r="E267" s="3">
        <v>43564</v>
      </c>
      <c r="F267">
        <f t="shared" si="4"/>
        <v>97</v>
      </c>
    </row>
    <row r="268" spans="1:6" x14ac:dyDescent="0.25">
      <c r="A268">
        <v>19</v>
      </c>
      <c r="B268">
        <f>CalculateVacation(VLOOKUP(A268,'Employee Data'!A7:P106,16,FALSE),VLOOKUP(A268,'Employee Data'!A7:V106,22,FALSE))</f>
        <v>13</v>
      </c>
      <c r="C268">
        <v>4</v>
      </c>
      <c r="D268" s="3">
        <v>43518</v>
      </c>
      <c r="E268" s="3">
        <v>43960</v>
      </c>
      <c r="F268">
        <f t="shared" si="4"/>
        <v>9</v>
      </c>
    </row>
    <row r="269" spans="1:6" x14ac:dyDescent="0.25">
      <c r="A269">
        <v>78</v>
      </c>
      <c r="B269">
        <f>CalculateVacation(VLOOKUP(A269,'Employee Data'!A7:P106,16,FALSE),VLOOKUP(A269,'Employee Data'!A7:V106,22,FALSE))</f>
        <v>0</v>
      </c>
      <c r="C269">
        <v>14</v>
      </c>
      <c r="D269" s="3">
        <v>43693</v>
      </c>
      <c r="E269" s="3">
        <v>44098</v>
      </c>
      <c r="F269">
        <f t="shared" si="4"/>
        <v>-14</v>
      </c>
    </row>
    <row r="270" spans="1:6" x14ac:dyDescent="0.25">
      <c r="A270">
        <v>92</v>
      </c>
      <c r="B270">
        <f>CalculateVacation(VLOOKUP(A270,'Employee Data'!A7:P106,16,FALSE),VLOOKUP(A270,'Employee Data'!A7:V106,22,FALSE))</f>
        <v>112.5</v>
      </c>
      <c r="C270">
        <v>26</v>
      </c>
      <c r="D270" s="3">
        <v>43984</v>
      </c>
      <c r="E270" s="3">
        <v>43994</v>
      </c>
      <c r="F270">
        <f t="shared" si="4"/>
        <v>86.5</v>
      </c>
    </row>
    <row r="271" spans="1:6" x14ac:dyDescent="0.25">
      <c r="A271">
        <v>74</v>
      </c>
      <c r="B271">
        <f>CalculateVacation(VLOOKUP(A271,'Employee Data'!A7:P106,16,FALSE),VLOOKUP(A271,'Employee Data'!A7:V106,22,FALSE))</f>
        <v>417.5</v>
      </c>
      <c r="C271">
        <v>4</v>
      </c>
      <c r="D271" s="3">
        <v>43679</v>
      </c>
      <c r="E271" s="3">
        <v>43969</v>
      </c>
      <c r="F271">
        <f t="shared" si="4"/>
        <v>413.5</v>
      </c>
    </row>
    <row r="272" spans="1:6" x14ac:dyDescent="0.25">
      <c r="A272">
        <v>60</v>
      </c>
      <c r="B272">
        <f>CalculateVacation(VLOOKUP(A272,'Employee Data'!A7:P106,16,FALSE),VLOOKUP(A272,'Employee Data'!A7:V106,22,FALSE))</f>
        <v>0</v>
      </c>
      <c r="C272">
        <v>23</v>
      </c>
      <c r="D272" s="3">
        <v>43988</v>
      </c>
      <c r="E272" s="3">
        <v>43994</v>
      </c>
      <c r="F272">
        <f t="shared" si="4"/>
        <v>-23</v>
      </c>
    </row>
    <row r="273" spans="1:6" x14ac:dyDescent="0.25">
      <c r="A273">
        <v>62</v>
      </c>
      <c r="B273">
        <f>CalculateVacation(VLOOKUP(A273,'Employee Data'!A7:P106,16,FALSE),VLOOKUP(A273,'Employee Data'!A7:V106,22,FALSE))</f>
        <v>651</v>
      </c>
      <c r="C273">
        <v>21</v>
      </c>
      <c r="D273" s="3">
        <v>44030</v>
      </c>
      <c r="E273" s="3">
        <v>44051</v>
      </c>
      <c r="F273">
        <f t="shared" si="4"/>
        <v>630</v>
      </c>
    </row>
    <row r="274" spans="1:6" x14ac:dyDescent="0.25">
      <c r="A274">
        <v>8</v>
      </c>
      <c r="B274">
        <f>CalculateVacation(VLOOKUP(A274,'Employee Data'!A7:P106,16,FALSE),VLOOKUP(A274,'Employee Data'!A7:V106,22,FALSE))</f>
        <v>588</v>
      </c>
      <c r="C274">
        <v>30</v>
      </c>
      <c r="D274" s="3">
        <v>43611</v>
      </c>
      <c r="E274" s="3">
        <v>43683</v>
      </c>
      <c r="F274">
        <f t="shared" si="4"/>
        <v>558</v>
      </c>
    </row>
    <row r="275" spans="1:6" x14ac:dyDescent="0.25">
      <c r="A275">
        <v>14</v>
      </c>
      <c r="B275">
        <f>CalculateVacation(VLOOKUP(A275,'Employee Data'!A7:P106,16,FALSE),VLOOKUP(A275,'Employee Data'!A7:V106,22,FALSE))</f>
        <v>0</v>
      </c>
      <c r="C275">
        <v>24</v>
      </c>
      <c r="D275" s="3">
        <v>43536</v>
      </c>
      <c r="E275" s="3">
        <v>43555</v>
      </c>
      <c r="F275">
        <f t="shared" si="4"/>
        <v>-24</v>
      </c>
    </row>
    <row r="276" spans="1:6" x14ac:dyDescent="0.25">
      <c r="A276">
        <v>83</v>
      </c>
      <c r="B276">
        <f>CalculateVacation(VLOOKUP(A276,'Employee Data'!A7:P106,16,FALSE),VLOOKUP(A276,'Employee Data'!A7:V106,22,FALSE))</f>
        <v>405</v>
      </c>
      <c r="C276">
        <v>20</v>
      </c>
      <c r="D276" s="3">
        <v>43853</v>
      </c>
      <c r="E276" s="3">
        <v>43860</v>
      </c>
      <c r="F276">
        <f t="shared" si="4"/>
        <v>385</v>
      </c>
    </row>
    <row r="277" spans="1:6" x14ac:dyDescent="0.25">
      <c r="A277">
        <v>32</v>
      </c>
      <c r="B277">
        <f>CalculateVacation(VLOOKUP(A277,'Employee Data'!A7:P106,16,FALSE),VLOOKUP(A277,'Employee Data'!A7:V106,22,FALSE))</f>
        <v>238</v>
      </c>
      <c r="C277">
        <v>13</v>
      </c>
      <c r="D277" s="3">
        <v>43704</v>
      </c>
      <c r="E277" s="3">
        <v>44104</v>
      </c>
      <c r="F277">
        <f t="shared" si="4"/>
        <v>225</v>
      </c>
    </row>
    <row r="278" spans="1:6" x14ac:dyDescent="0.25">
      <c r="A278">
        <v>57</v>
      </c>
      <c r="B278">
        <f>CalculateVacation(VLOOKUP(A278,'Employee Data'!A7:P106,16,FALSE),VLOOKUP(A278,'Employee Data'!A7:V106,22,FALSE))</f>
        <v>99</v>
      </c>
      <c r="C278">
        <v>9</v>
      </c>
      <c r="D278" s="3">
        <v>43532</v>
      </c>
      <c r="E278" s="3">
        <v>43799</v>
      </c>
      <c r="F278">
        <f t="shared" si="4"/>
        <v>90</v>
      </c>
    </row>
    <row r="279" spans="1:6" x14ac:dyDescent="0.25">
      <c r="A279">
        <v>29</v>
      </c>
      <c r="B279">
        <f>CalculateVacation(VLOOKUP(A279,'Employee Data'!A7:P106,16,FALSE),VLOOKUP(A279,'Employee Data'!A7:V106,22,FALSE))</f>
        <v>412.5</v>
      </c>
      <c r="C279">
        <v>29</v>
      </c>
      <c r="D279" s="3">
        <v>43922</v>
      </c>
      <c r="E279" s="3">
        <v>43925</v>
      </c>
      <c r="F279">
        <f t="shared" si="4"/>
        <v>383.5</v>
      </c>
    </row>
    <row r="280" spans="1:6" x14ac:dyDescent="0.25">
      <c r="A280">
        <v>31</v>
      </c>
      <c r="B280">
        <f>CalculateVacation(VLOOKUP(A280,'Employee Data'!A7:P106,16,FALSE),VLOOKUP(A280,'Employee Data'!A7:V106,22,FALSE))</f>
        <v>570</v>
      </c>
      <c r="C280">
        <v>2</v>
      </c>
      <c r="D280" s="3">
        <v>44050</v>
      </c>
      <c r="E280" s="3">
        <v>44051</v>
      </c>
      <c r="F280">
        <f t="shared" si="4"/>
        <v>568</v>
      </c>
    </row>
    <row r="281" spans="1:6" x14ac:dyDescent="0.25">
      <c r="A281">
        <v>71</v>
      </c>
      <c r="B281">
        <f>CalculateVacation(VLOOKUP(A281,'Employee Data'!A7:P106,16,FALSE),VLOOKUP(A281,'Employee Data'!A7:V106,22,FALSE))</f>
        <v>117</v>
      </c>
      <c r="C281">
        <v>30</v>
      </c>
      <c r="D281" s="3">
        <v>43560</v>
      </c>
      <c r="E281" s="3">
        <v>43937</v>
      </c>
      <c r="F281">
        <f t="shared" si="4"/>
        <v>87</v>
      </c>
    </row>
    <row r="282" spans="1:6" x14ac:dyDescent="0.25">
      <c r="A282">
        <v>34</v>
      </c>
      <c r="B282">
        <f>CalculateVacation(VLOOKUP(A282,'Employee Data'!A7:P106,16,FALSE),VLOOKUP(A282,'Employee Data'!A7:V106,22,FALSE))</f>
        <v>591</v>
      </c>
      <c r="C282">
        <v>20</v>
      </c>
      <c r="D282" s="3">
        <v>44074</v>
      </c>
      <c r="E282" s="3">
        <v>44078</v>
      </c>
      <c r="F282">
        <f t="shared" si="4"/>
        <v>571</v>
      </c>
    </row>
    <row r="283" spans="1:6" x14ac:dyDescent="0.25">
      <c r="A283">
        <v>7</v>
      </c>
      <c r="B283">
        <f>CalculateVacation(VLOOKUP(A283,'Employee Data'!A7:P106,16,FALSE),VLOOKUP(A283,'Employee Data'!A7:V106,22,FALSE))</f>
        <v>642</v>
      </c>
      <c r="C283">
        <v>22</v>
      </c>
      <c r="D283" s="3">
        <v>44093</v>
      </c>
      <c r="E283" s="3">
        <v>44095</v>
      </c>
      <c r="F283">
        <f t="shared" si="4"/>
        <v>620</v>
      </c>
    </row>
    <row r="284" spans="1:6" x14ac:dyDescent="0.25">
      <c r="A284">
        <v>88</v>
      </c>
      <c r="B284">
        <f>CalculateVacation(VLOOKUP(A284,'Employee Data'!A7:P106,16,FALSE),VLOOKUP(A284,'Employee Data'!A7:V106,22,FALSE))</f>
        <v>390</v>
      </c>
      <c r="C284">
        <v>10</v>
      </c>
      <c r="D284" s="3">
        <v>43864</v>
      </c>
      <c r="E284" s="3">
        <v>44065</v>
      </c>
      <c r="F284">
        <f t="shared" si="4"/>
        <v>380</v>
      </c>
    </row>
    <row r="285" spans="1:6" x14ac:dyDescent="0.25">
      <c r="A285">
        <v>19</v>
      </c>
      <c r="B285">
        <f>CalculateVacation(VLOOKUP(A285,'Employee Data'!A7:P106,16,FALSE),VLOOKUP(A285,'Employee Data'!A7:V106,22,FALSE))</f>
        <v>13</v>
      </c>
      <c r="C285">
        <v>9</v>
      </c>
      <c r="D285" s="3">
        <v>43770</v>
      </c>
      <c r="E285" s="3">
        <v>44055</v>
      </c>
      <c r="F285">
        <f t="shared" si="4"/>
        <v>4</v>
      </c>
    </row>
    <row r="286" spans="1:6" x14ac:dyDescent="0.25">
      <c r="A286">
        <v>60</v>
      </c>
      <c r="B286">
        <f>CalculateVacation(VLOOKUP(A286,'Employee Data'!A7:P106,16,FALSE),VLOOKUP(A286,'Employee Data'!A7:V106,22,FALSE))</f>
        <v>0</v>
      </c>
      <c r="C286">
        <v>24</v>
      </c>
      <c r="D286" s="3">
        <v>43965</v>
      </c>
      <c r="E286" s="3">
        <v>44034</v>
      </c>
      <c r="F286">
        <f t="shared" si="4"/>
        <v>-24</v>
      </c>
    </row>
    <row r="287" spans="1:6" x14ac:dyDescent="0.25">
      <c r="A287">
        <v>13</v>
      </c>
      <c r="B287">
        <f>CalculateVacation(VLOOKUP(A287,'Employee Data'!A7:P106,16,FALSE),VLOOKUP(A287,'Employee Data'!A7:V106,22,FALSE))</f>
        <v>633</v>
      </c>
      <c r="C287">
        <v>10</v>
      </c>
      <c r="D287" s="3">
        <v>44039</v>
      </c>
      <c r="E287" s="3">
        <v>44088</v>
      </c>
      <c r="F287">
        <f t="shared" si="4"/>
        <v>623</v>
      </c>
    </row>
    <row r="288" spans="1:6" x14ac:dyDescent="0.25">
      <c r="A288">
        <v>77</v>
      </c>
      <c r="B288">
        <f>CalculateVacation(VLOOKUP(A288,'Employee Data'!A7:P106,16,FALSE),VLOOKUP(A288,'Employee Data'!A7:V106,22,FALSE))</f>
        <v>437.5</v>
      </c>
      <c r="C288">
        <v>3</v>
      </c>
      <c r="D288" s="3">
        <v>43846</v>
      </c>
      <c r="E288" s="3">
        <v>43849</v>
      </c>
      <c r="F288">
        <f t="shared" si="4"/>
        <v>434.5</v>
      </c>
    </row>
    <row r="289" spans="1:6" x14ac:dyDescent="0.25">
      <c r="A289">
        <v>77</v>
      </c>
      <c r="B289">
        <f>CalculateVacation(VLOOKUP(A289,'Employee Data'!A7:P106,16,FALSE),VLOOKUP(A289,'Employee Data'!A7:V106,22,FALSE))</f>
        <v>437.5</v>
      </c>
      <c r="C289">
        <v>3</v>
      </c>
      <c r="D289" s="3">
        <v>43769</v>
      </c>
      <c r="E289" s="3">
        <v>44080</v>
      </c>
      <c r="F289">
        <f t="shared" si="4"/>
        <v>434.5</v>
      </c>
    </row>
    <row r="290" spans="1:6" x14ac:dyDescent="0.25">
      <c r="A290">
        <v>64</v>
      </c>
      <c r="B290">
        <f>CalculateVacation(VLOOKUP(A290,'Employee Data'!A7:P106,16,FALSE),VLOOKUP(A290,'Employee Data'!A7:V106,22,FALSE))</f>
        <v>39</v>
      </c>
      <c r="C290">
        <v>3</v>
      </c>
      <c r="D290" s="3">
        <v>43638</v>
      </c>
      <c r="E290" s="3">
        <v>43745</v>
      </c>
      <c r="F290">
        <f t="shared" si="4"/>
        <v>36</v>
      </c>
    </row>
    <row r="291" spans="1:6" x14ac:dyDescent="0.25">
      <c r="A291">
        <v>60</v>
      </c>
      <c r="B291">
        <f>CalculateVacation(VLOOKUP(A291,'Employee Data'!A7:P106,16,FALSE),VLOOKUP(A291,'Employee Data'!A7:V106,22,FALSE))</f>
        <v>0</v>
      </c>
      <c r="C291">
        <v>28</v>
      </c>
      <c r="D291" s="3">
        <v>43498</v>
      </c>
      <c r="E291" s="3">
        <v>43755</v>
      </c>
      <c r="F291">
        <f t="shared" si="4"/>
        <v>-28</v>
      </c>
    </row>
    <row r="292" spans="1:6" x14ac:dyDescent="0.25">
      <c r="A292">
        <v>75</v>
      </c>
      <c r="B292">
        <f>CalculateVacation(VLOOKUP(A292,'Employee Data'!A7:P106,16,FALSE),VLOOKUP(A292,'Employee Data'!A7:V106,22,FALSE))</f>
        <v>407.5</v>
      </c>
      <c r="C292">
        <v>2</v>
      </c>
      <c r="D292" s="3">
        <v>43553</v>
      </c>
      <c r="E292" s="3">
        <v>43643</v>
      </c>
      <c r="F292">
        <f t="shared" si="4"/>
        <v>405.5</v>
      </c>
    </row>
    <row r="293" spans="1:6" x14ac:dyDescent="0.25">
      <c r="A293">
        <v>46</v>
      </c>
      <c r="B293">
        <f>CalculateVacation(VLOOKUP(A293,'Employee Data'!A7:P106,16,FALSE),VLOOKUP(A293,'Employee Data'!A7:V106,22,FALSE))</f>
        <v>50</v>
      </c>
      <c r="C293">
        <v>10</v>
      </c>
      <c r="D293" s="3">
        <v>43988</v>
      </c>
      <c r="E293" s="3">
        <v>43997</v>
      </c>
      <c r="F293">
        <f t="shared" si="4"/>
        <v>40</v>
      </c>
    </row>
    <row r="294" spans="1:6" x14ac:dyDescent="0.25">
      <c r="A294">
        <v>22</v>
      </c>
      <c r="B294">
        <f>CalculateVacation(VLOOKUP(A294,'Employee Data'!A7:P106,16,FALSE),VLOOKUP(A294,'Employee Data'!A7:V106,22,FALSE))</f>
        <v>43</v>
      </c>
      <c r="C294">
        <v>23</v>
      </c>
      <c r="D294" s="3">
        <v>43490</v>
      </c>
      <c r="E294" s="3">
        <v>43501</v>
      </c>
      <c r="F294">
        <f t="shared" si="4"/>
        <v>20</v>
      </c>
    </row>
    <row r="295" spans="1:6" x14ac:dyDescent="0.25">
      <c r="A295">
        <v>27</v>
      </c>
      <c r="B295">
        <f>CalculateVacation(VLOOKUP(A295,'Employee Data'!A7:P106,16,FALSE),VLOOKUP(A295,'Employee Data'!A7:V106,22,FALSE))</f>
        <v>0</v>
      </c>
      <c r="C295">
        <v>23</v>
      </c>
      <c r="D295" s="3">
        <v>43957</v>
      </c>
      <c r="E295" s="3">
        <v>43958</v>
      </c>
      <c r="F295">
        <f t="shared" si="4"/>
        <v>-23</v>
      </c>
    </row>
    <row r="296" spans="1:6" x14ac:dyDescent="0.25">
      <c r="A296">
        <v>76</v>
      </c>
      <c r="B296">
        <f>CalculateVacation(VLOOKUP(A296,'Employee Data'!A7:P106,16,FALSE),VLOOKUP(A296,'Employee Data'!A7:V106,22,FALSE))</f>
        <v>591</v>
      </c>
      <c r="C296">
        <v>17</v>
      </c>
      <c r="D296" s="3">
        <v>43848</v>
      </c>
      <c r="E296" s="3">
        <v>43850</v>
      </c>
      <c r="F296">
        <f t="shared" si="4"/>
        <v>574</v>
      </c>
    </row>
    <row r="297" spans="1:6" x14ac:dyDescent="0.25">
      <c r="A297">
        <v>77</v>
      </c>
      <c r="B297">
        <f>CalculateVacation(VLOOKUP(A297,'Employee Data'!A7:P106,16,FALSE),VLOOKUP(A297,'Employee Data'!A7:V106,22,FALSE))</f>
        <v>437.5</v>
      </c>
      <c r="C297">
        <v>20</v>
      </c>
      <c r="D297" s="3">
        <v>44042</v>
      </c>
      <c r="E297" s="3">
        <v>44046</v>
      </c>
      <c r="F297">
        <f t="shared" si="4"/>
        <v>417.5</v>
      </c>
    </row>
    <row r="298" spans="1:6" x14ac:dyDescent="0.25">
      <c r="A298">
        <v>91</v>
      </c>
      <c r="B298">
        <f>CalculateVacation(VLOOKUP(A298,'Employee Data'!A7:P106,16,FALSE),VLOOKUP(A298,'Employee Data'!A7:V106,22,FALSE))</f>
        <v>40.5</v>
      </c>
      <c r="C298">
        <v>3</v>
      </c>
      <c r="D298" s="3">
        <v>44066</v>
      </c>
      <c r="E298" s="3">
        <v>44074</v>
      </c>
      <c r="F298">
        <f t="shared" si="4"/>
        <v>37.5</v>
      </c>
    </row>
    <row r="299" spans="1:6" x14ac:dyDescent="0.25">
      <c r="A299">
        <v>19</v>
      </c>
      <c r="B299">
        <f>CalculateVacation(VLOOKUP(A299,'Employee Data'!A7:P106,16,FALSE),VLOOKUP(A299,'Employee Data'!A7:V106,22,FALSE))</f>
        <v>13</v>
      </c>
      <c r="C299">
        <v>20</v>
      </c>
      <c r="D299" s="3">
        <v>43597</v>
      </c>
      <c r="E299" s="3">
        <v>43716</v>
      </c>
      <c r="F299">
        <f t="shared" si="4"/>
        <v>-7</v>
      </c>
    </row>
    <row r="300" spans="1:6" x14ac:dyDescent="0.25">
      <c r="A300">
        <v>27</v>
      </c>
      <c r="B300">
        <f>CalculateVacation(VLOOKUP(A300,'Employee Data'!A7:P106,16,FALSE),VLOOKUP(A300,'Employee Data'!A7:V106,22,FALSE))</f>
        <v>0</v>
      </c>
      <c r="C300">
        <v>27</v>
      </c>
      <c r="D300" s="3">
        <v>43759</v>
      </c>
      <c r="E300" s="3">
        <v>43764</v>
      </c>
      <c r="F300">
        <f t="shared" si="4"/>
        <v>-27</v>
      </c>
    </row>
    <row r="301" spans="1:6" x14ac:dyDescent="0.25">
      <c r="A301">
        <v>98</v>
      </c>
      <c r="B301">
        <f>CalculateVacation(VLOOKUP(A301,'Employee Data'!A7:P106,16,FALSE),VLOOKUP(A301,'Employee Data'!A7:V106,22,FALSE))</f>
        <v>648</v>
      </c>
      <c r="C301">
        <v>14</v>
      </c>
      <c r="D301" s="3">
        <v>43884</v>
      </c>
      <c r="E301" s="3">
        <v>43894</v>
      </c>
      <c r="F301">
        <f t="shared" si="4"/>
        <v>634</v>
      </c>
    </row>
    <row r="302" spans="1:6" x14ac:dyDescent="0.25">
      <c r="A302">
        <v>93</v>
      </c>
      <c r="B302">
        <f>CalculateVacation(VLOOKUP(A302,'Employee Data'!A7:P106,16,FALSE),VLOOKUP(A302,'Employee Data'!A7:V106,22,FALSE))</f>
        <v>151.5</v>
      </c>
      <c r="C302">
        <v>30</v>
      </c>
      <c r="D302" s="3">
        <v>43763</v>
      </c>
      <c r="E302" s="3">
        <v>43946</v>
      </c>
      <c r="F302">
        <f t="shared" si="4"/>
        <v>121.5</v>
      </c>
    </row>
    <row r="303" spans="1:6" x14ac:dyDescent="0.25">
      <c r="A303">
        <v>45</v>
      </c>
      <c r="B303">
        <f>CalculateVacation(VLOOKUP(A303,'Employee Data'!A7:P106,16,FALSE),VLOOKUP(A303,'Employee Data'!A7:V106,22,FALSE))</f>
        <v>45</v>
      </c>
      <c r="C303">
        <v>22</v>
      </c>
      <c r="D303" s="3">
        <v>43980</v>
      </c>
      <c r="E303" s="3">
        <v>44093</v>
      </c>
      <c r="F303">
        <f t="shared" si="4"/>
        <v>23</v>
      </c>
    </row>
    <row r="304" spans="1:6" x14ac:dyDescent="0.25">
      <c r="A304">
        <v>78</v>
      </c>
      <c r="B304">
        <f>CalculateVacation(VLOOKUP(A304,'Employee Data'!A7:P106,16,FALSE),VLOOKUP(A304,'Employee Data'!A7:V106,22,FALSE))</f>
        <v>0</v>
      </c>
      <c r="C304">
        <v>14</v>
      </c>
      <c r="D304" s="3">
        <v>43838</v>
      </c>
      <c r="E304" s="3">
        <v>43847</v>
      </c>
      <c r="F304">
        <f t="shared" si="4"/>
        <v>-14</v>
      </c>
    </row>
    <row r="305" spans="1:6" x14ac:dyDescent="0.25">
      <c r="A305">
        <v>87</v>
      </c>
      <c r="B305">
        <f>CalculateVacation(VLOOKUP(A305,'Employee Data'!A7:P106,16,FALSE),VLOOKUP(A305,'Employee Data'!A7:V106,22,FALSE))</f>
        <v>537</v>
      </c>
      <c r="C305">
        <v>12</v>
      </c>
      <c r="D305" s="3">
        <v>43520</v>
      </c>
      <c r="E305" s="3">
        <v>43710</v>
      </c>
      <c r="F305">
        <f t="shared" si="4"/>
        <v>525</v>
      </c>
    </row>
    <row r="306" spans="1:6" x14ac:dyDescent="0.25">
      <c r="A306">
        <v>27</v>
      </c>
      <c r="B306">
        <f>CalculateVacation(VLOOKUP(A306,'Employee Data'!A7:P106,16,FALSE),VLOOKUP(A306,'Employee Data'!A7:V106,22,FALSE))</f>
        <v>0</v>
      </c>
      <c r="C306">
        <v>11</v>
      </c>
      <c r="D306" s="3">
        <v>44094</v>
      </c>
      <c r="E306" s="3">
        <v>44096</v>
      </c>
      <c r="F306">
        <f t="shared" si="4"/>
        <v>-11</v>
      </c>
    </row>
    <row r="307" spans="1:6" x14ac:dyDescent="0.25">
      <c r="A307">
        <v>30</v>
      </c>
      <c r="B307">
        <f>CalculateVacation(VLOOKUP(A307,'Employee Data'!A7:P106,16,FALSE),VLOOKUP(A307,'Employee Data'!A7:V106,22,FALSE))</f>
        <v>138</v>
      </c>
      <c r="C307">
        <v>7</v>
      </c>
      <c r="D307" s="3">
        <v>43805</v>
      </c>
      <c r="E307" s="3">
        <v>43848</v>
      </c>
      <c r="F307">
        <f t="shared" si="4"/>
        <v>131</v>
      </c>
    </row>
    <row r="308" spans="1:6" x14ac:dyDescent="0.25">
      <c r="A308">
        <v>64</v>
      </c>
      <c r="B308">
        <f>CalculateVacation(VLOOKUP(A308,'Employee Data'!A7:P106,16,FALSE),VLOOKUP(A308,'Employee Data'!A7:V106,22,FALSE))</f>
        <v>39</v>
      </c>
      <c r="C308">
        <v>23</v>
      </c>
      <c r="D308" s="3">
        <v>43849</v>
      </c>
      <c r="E308" s="3">
        <v>43852</v>
      </c>
      <c r="F308">
        <f t="shared" si="4"/>
        <v>16</v>
      </c>
    </row>
    <row r="309" spans="1:6" x14ac:dyDescent="0.25">
      <c r="A309">
        <v>18</v>
      </c>
      <c r="B309">
        <f>CalculateVacation(VLOOKUP(A309,'Employee Data'!A7:P106,16,FALSE),VLOOKUP(A309,'Employee Data'!A7:V106,22,FALSE))</f>
        <v>603</v>
      </c>
      <c r="C309">
        <v>22</v>
      </c>
      <c r="D309" s="3">
        <v>43847</v>
      </c>
      <c r="E309" s="3">
        <v>44083</v>
      </c>
      <c r="F309">
        <f t="shared" si="4"/>
        <v>581</v>
      </c>
    </row>
    <row r="310" spans="1:6" x14ac:dyDescent="0.25">
      <c r="A310">
        <v>37</v>
      </c>
      <c r="B310">
        <f>CalculateVacation(VLOOKUP(A310,'Employee Data'!A7:P106,16,FALSE),VLOOKUP(A310,'Employee Data'!A7:V106,22,FALSE))</f>
        <v>407.5</v>
      </c>
      <c r="C310">
        <v>9</v>
      </c>
      <c r="D310" s="3">
        <v>43773</v>
      </c>
      <c r="E310" s="3">
        <v>43884</v>
      </c>
      <c r="F310">
        <f t="shared" si="4"/>
        <v>398.5</v>
      </c>
    </row>
    <row r="311" spans="1:6" x14ac:dyDescent="0.25">
      <c r="A311">
        <v>48</v>
      </c>
      <c r="B311">
        <f>CalculateVacation(VLOOKUP(A311,'Employee Data'!A7:P106,16,FALSE),VLOOKUP(A311,'Employee Data'!A7:V106,22,FALSE))</f>
        <v>174</v>
      </c>
      <c r="C311">
        <v>17</v>
      </c>
      <c r="D311" s="3">
        <v>43922</v>
      </c>
      <c r="E311" s="3">
        <v>43927</v>
      </c>
      <c r="F311">
        <f t="shared" si="4"/>
        <v>157</v>
      </c>
    </row>
    <row r="312" spans="1:6" x14ac:dyDescent="0.25">
      <c r="A312">
        <v>66</v>
      </c>
      <c r="B312">
        <f>CalculateVacation(VLOOKUP(A312,'Employee Data'!A7:P106,16,FALSE),VLOOKUP(A312,'Employee Data'!A7:V106,22,FALSE))</f>
        <v>0</v>
      </c>
      <c r="C312">
        <v>21</v>
      </c>
      <c r="D312" s="3">
        <v>43638</v>
      </c>
      <c r="E312" s="3">
        <v>43642</v>
      </c>
      <c r="F312">
        <f t="shared" si="4"/>
        <v>-21</v>
      </c>
    </row>
    <row r="313" spans="1:6" x14ac:dyDescent="0.25">
      <c r="A313">
        <v>43</v>
      </c>
      <c r="B313">
        <f>CalculateVacation(VLOOKUP(A313,'Employee Data'!A7:P106,16,FALSE),VLOOKUP(A313,'Employee Data'!A7:V106,22,FALSE))</f>
        <v>52</v>
      </c>
      <c r="C313">
        <v>4</v>
      </c>
      <c r="D313" s="3">
        <v>43724</v>
      </c>
      <c r="E313" s="3">
        <v>43729</v>
      </c>
      <c r="F313">
        <f t="shared" si="4"/>
        <v>48</v>
      </c>
    </row>
    <row r="314" spans="1:6" x14ac:dyDescent="0.25">
      <c r="A314">
        <v>8</v>
      </c>
      <c r="B314">
        <f>CalculateVacation(VLOOKUP(A314,'Employee Data'!A7:P106,16,FALSE),VLOOKUP(A314,'Employee Data'!A7:V106,22,FALSE))</f>
        <v>588</v>
      </c>
      <c r="C314">
        <v>3</v>
      </c>
      <c r="D314" s="3">
        <v>43793</v>
      </c>
      <c r="E314" s="3">
        <v>43801</v>
      </c>
      <c r="F314">
        <f t="shared" si="4"/>
        <v>585</v>
      </c>
    </row>
    <row r="315" spans="1:6" x14ac:dyDescent="0.25">
      <c r="A315">
        <v>58</v>
      </c>
      <c r="B315">
        <f>CalculateVacation(VLOOKUP(A315,'Employee Data'!A7:P106,16,FALSE),VLOOKUP(A315,'Employee Data'!A7:V106,22,FALSE))</f>
        <v>114</v>
      </c>
      <c r="C315">
        <v>1</v>
      </c>
      <c r="D315" s="3">
        <v>43628</v>
      </c>
      <c r="E315" s="3">
        <v>44100</v>
      </c>
      <c r="F315">
        <f t="shared" si="4"/>
        <v>113</v>
      </c>
    </row>
    <row r="316" spans="1:6" x14ac:dyDescent="0.25">
      <c r="A316">
        <v>55</v>
      </c>
      <c r="B316">
        <f>CalculateVacation(VLOOKUP(A316,'Employee Data'!A7:P106,16,FALSE),VLOOKUP(A316,'Employee Data'!A7:V106,22,FALSE))</f>
        <v>0</v>
      </c>
      <c r="C316">
        <v>9</v>
      </c>
      <c r="D316" s="3">
        <v>43705</v>
      </c>
      <c r="E316" s="3">
        <v>43993</v>
      </c>
      <c r="F316">
        <f t="shared" si="4"/>
        <v>-9</v>
      </c>
    </row>
    <row r="317" spans="1:6" x14ac:dyDescent="0.25">
      <c r="A317">
        <v>61</v>
      </c>
      <c r="B317">
        <f>CalculateVacation(VLOOKUP(A317,'Employee Data'!A7:P106,16,FALSE),VLOOKUP(A317,'Employee Data'!A7:V106,22,FALSE))</f>
        <v>126</v>
      </c>
      <c r="C317">
        <v>12</v>
      </c>
      <c r="D317" s="3">
        <v>43843</v>
      </c>
      <c r="E317" s="3">
        <v>43852</v>
      </c>
      <c r="F317">
        <f t="shared" si="4"/>
        <v>114</v>
      </c>
    </row>
    <row r="318" spans="1:6" x14ac:dyDescent="0.25">
      <c r="A318">
        <v>93</v>
      </c>
      <c r="B318">
        <f>CalculateVacation(VLOOKUP(A318,'Employee Data'!A7:P106,16,FALSE),VLOOKUP(A318,'Employee Data'!A7:V106,22,FALSE))</f>
        <v>151.5</v>
      </c>
      <c r="C318">
        <v>17</v>
      </c>
      <c r="D318" s="3">
        <v>43961</v>
      </c>
      <c r="E318" s="3">
        <v>43966</v>
      </c>
      <c r="F318">
        <f t="shared" si="4"/>
        <v>134.5</v>
      </c>
    </row>
    <row r="319" spans="1:6" x14ac:dyDescent="0.25">
      <c r="A319">
        <v>73</v>
      </c>
      <c r="B319">
        <f>CalculateVacation(VLOOKUP(A319,'Employee Data'!A7:P106,16,FALSE),VLOOKUP(A319,'Employee Data'!A7:V106,22,FALSE))</f>
        <v>105</v>
      </c>
      <c r="C319">
        <v>26</v>
      </c>
      <c r="D319" s="3">
        <v>43758</v>
      </c>
      <c r="E319" s="3">
        <v>44078</v>
      </c>
      <c r="F319">
        <f t="shared" si="4"/>
        <v>79</v>
      </c>
    </row>
    <row r="320" spans="1:6" x14ac:dyDescent="0.25">
      <c r="A320">
        <v>4</v>
      </c>
      <c r="B320">
        <f>CalculateVacation(VLOOKUP(A320,'Employee Data'!A7:P106,16,FALSE),VLOOKUP(A320,'Employee Data'!A7:V106,22,FALSE))</f>
        <v>242</v>
      </c>
      <c r="C320">
        <v>11</v>
      </c>
      <c r="D320" s="3">
        <v>43751</v>
      </c>
      <c r="E320" s="3">
        <v>43997</v>
      </c>
      <c r="F320">
        <f t="shared" si="4"/>
        <v>231</v>
      </c>
    </row>
    <row r="321" spans="1:6" x14ac:dyDescent="0.25">
      <c r="A321">
        <v>94</v>
      </c>
      <c r="B321">
        <f>CalculateVacation(VLOOKUP(A321,'Employee Data'!A7:P106,16,FALSE),VLOOKUP(A321,'Employee Data'!A7:V106,22,FALSE))</f>
        <v>130.5</v>
      </c>
      <c r="C321">
        <v>9</v>
      </c>
      <c r="D321" s="3">
        <v>43820</v>
      </c>
      <c r="E321" s="3">
        <v>43821</v>
      </c>
      <c r="F321">
        <f t="shared" si="4"/>
        <v>121.5</v>
      </c>
    </row>
    <row r="322" spans="1:6" x14ac:dyDescent="0.25">
      <c r="A322">
        <v>38</v>
      </c>
      <c r="B322">
        <f>CalculateVacation(VLOOKUP(A322,'Employee Data'!A7:P106,16,FALSE),VLOOKUP(A322,'Employee Data'!A7:V106,22,FALSE))</f>
        <v>387.5</v>
      </c>
      <c r="C322">
        <v>9</v>
      </c>
      <c r="D322" s="3">
        <v>43609</v>
      </c>
      <c r="E322" s="3">
        <v>43610</v>
      </c>
      <c r="F322">
        <f t="shared" si="4"/>
        <v>378.5</v>
      </c>
    </row>
    <row r="323" spans="1:6" x14ac:dyDescent="0.25">
      <c r="A323">
        <v>38</v>
      </c>
      <c r="B323">
        <f>CalculateVacation(VLOOKUP(A323,'Employee Data'!A7:P106,16,FALSE),VLOOKUP(A323,'Employee Data'!A7:V106,22,FALSE))</f>
        <v>387.5</v>
      </c>
      <c r="C323">
        <v>30</v>
      </c>
      <c r="D323" s="3">
        <v>43822</v>
      </c>
      <c r="E323" s="3">
        <v>43830</v>
      </c>
      <c r="F323">
        <f t="shared" si="4"/>
        <v>357.5</v>
      </c>
    </row>
    <row r="324" spans="1:6" x14ac:dyDescent="0.25">
      <c r="A324">
        <v>8</v>
      </c>
      <c r="B324">
        <f>CalculateVacation(VLOOKUP(A324,'Employee Data'!A7:P106,16,FALSE),VLOOKUP(A324,'Employee Data'!A7:V106,22,FALSE))</f>
        <v>588</v>
      </c>
      <c r="C324">
        <v>29</v>
      </c>
      <c r="D324" s="3">
        <v>43989</v>
      </c>
      <c r="E324" s="3">
        <v>43999</v>
      </c>
      <c r="F324">
        <f t="shared" si="4"/>
        <v>559</v>
      </c>
    </row>
    <row r="325" spans="1:6" x14ac:dyDescent="0.25">
      <c r="A325">
        <v>9</v>
      </c>
      <c r="B325">
        <f>CalculateVacation(VLOOKUP(A325,'Employee Data'!A7:P106,16,FALSE),VLOOKUP(A325,'Employee Data'!A7:V106,22,FALSE))</f>
        <v>36</v>
      </c>
      <c r="C325">
        <v>3</v>
      </c>
      <c r="D325" s="3">
        <v>44088</v>
      </c>
      <c r="E325" s="3">
        <v>44094</v>
      </c>
      <c r="F325">
        <f t="shared" si="4"/>
        <v>33</v>
      </c>
    </row>
    <row r="326" spans="1:6" x14ac:dyDescent="0.25">
      <c r="A326">
        <v>88</v>
      </c>
      <c r="B326">
        <f>CalculateVacation(VLOOKUP(A326,'Employee Data'!A7:P106,16,FALSE),VLOOKUP(A326,'Employee Data'!A7:V106,22,FALSE))</f>
        <v>390</v>
      </c>
      <c r="C326">
        <v>1</v>
      </c>
      <c r="D326" s="3">
        <v>43922</v>
      </c>
      <c r="E326" s="3">
        <v>43926</v>
      </c>
      <c r="F326">
        <f t="shared" si="4"/>
        <v>389</v>
      </c>
    </row>
    <row r="327" spans="1:6" x14ac:dyDescent="0.25">
      <c r="A327">
        <v>42</v>
      </c>
      <c r="B327">
        <f>CalculateVacation(VLOOKUP(A327,'Employee Data'!A7:P106,16,FALSE),VLOOKUP(A327,'Employee Data'!A7:V106,22,FALSE))</f>
        <v>669</v>
      </c>
      <c r="C327">
        <v>26</v>
      </c>
      <c r="D327" s="3">
        <v>43922</v>
      </c>
      <c r="E327" s="3">
        <v>43923</v>
      </c>
      <c r="F327">
        <f t="shared" si="4"/>
        <v>643</v>
      </c>
    </row>
    <row r="328" spans="1:6" x14ac:dyDescent="0.25">
      <c r="A328">
        <v>46</v>
      </c>
      <c r="B328">
        <f>CalculateVacation(VLOOKUP(A328,'Employee Data'!A7:P106,16,FALSE),VLOOKUP(A328,'Employee Data'!A7:V106,22,FALSE))</f>
        <v>50</v>
      </c>
      <c r="C328">
        <v>21</v>
      </c>
      <c r="D328" s="3">
        <v>43489</v>
      </c>
      <c r="E328" s="3">
        <v>44010</v>
      </c>
      <c r="F328">
        <f t="shared" ref="F328:F391" si="5">B328-C328</f>
        <v>29</v>
      </c>
    </row>
    <row r="329" spans="1:6" x14ac:dyDescent="0.25">
      <c r="A329">
        <v>74</v>
      </c>
      <c r="B329">
        <f>CalculateVacation(VLOOKUP(A329,'Employee Data'!A7:P106,16,FALSE),VLOOKUP(A329,'Employee Data'!A7:V106,22,FALSE))</f>
        <v>417.5</v>
      </c>
      <c r="C329">
        <v>15</v>
      </c>
      <c r="D329" s="3">
        <v>43481</v>
      </c>
      <c r="E329" s="3">
        <v>43634</v>
      </c>
      <c r="F329">
        <f t="shared" si="5"/>
        <v>402.5</v>
      </c>
    </row>
    <row r="330" spans="1:6" x14ac:dyDescent="0.25">
      <c r="A330">
        <v>92</v>
      </c>
      <c r="B330">
        <f>CalculateVacation(VLOOKUP(A330,'Employee Data'!A7:P106,16,FALSE),VLOOKUP(A330,'Employee Data'!A7:V106,22,FALSE))</f>
        <v>112.5</v>
      </c>
      <c r="C330">
        <v>13</v>
      </c>
      <c r="D330" s="3">
        <v>43915</v>
      </c>
      <c r="E330" s="3">
        <v>44010</v>
      </c>
      <c r="F330">
        <f t="shared" si="5"/>
        <v>99.5</v>
      </c>
    </row>
    <row r="331" spans="1:6" x14ac:dyDescent="0.25">
      <c r="A331">
        <v>95</v>
      </c>
      <c r="B331">
        <f>CalculateVacation(VLOOKUP(A331,'Employee Data'!A7:P106,16,FALSE),VLOOKUP(A331,'Employee Data'!A7:V106,22,FALSE))</f>
        <v>618</v>
      </c>
      <c r="C331">
        <v>27</v>
      </c>
      <c r="D331" s="3">
        <v>43863</v>
      </c>
      <c r="E331" s="3">
        <v>43865</v>
      </c>
      <c r="F331">
        <f t="shared" si="5"/>
        <v>591</v>
      </c>
    </row>
    <row r="332" spans="1:6" x14ac:dyDescent="0.25">
      <c r="A332">
        <v>67</v>
      </c>
      <c r="B332">
        <f>CalculateVacation(VLOOKUP(A332,'Employee Data'!A7:P106,16,FALSE),VLOOKUP(A332,'Employee Data'!A7:V106,22,FALSE))</f>
        <v>20</v>
      </c>
      <c r="C332">
        <v>3</v>
      </c>
      <c r="D332" s="3">
        <v>44064</v>
      </c>
      <c r="E332" s="3">
        <v>44073</v>
      </c>
      <c r="F332">
        <f t="shared" si="5"/>
        <v>17</v>
      </c>
    </row>
    <row r="333" spans="1:6" x14ac:dyDescent="0.25">
      <c r="A333">
        <v>94</v>
      </c>
      <c r="B333">
        <f>CalculateVacation(VLOOKUP(A333,'Employee Data'!A7:P106,16,FALSE),VLOOKUP(A333,'Employee Data'!A7:V106,22,FALSE))</f>
        <v>130.5</v>
      </c>
      <c r="C333">
        <v>9</v>
      </c>
      <c r="D333" s="3">
        <v>44013</v>
      </c>
      <c r="E333" s="3">
        <v>44020</v>
      </c>
      <c r="F333">
        <f t="shared" si="5"/>
        <v>121.5</v>
      </c>
    </row>
    <row r="334" spans="1:6" x14ac:dyDescent="0.25">
      <c r="A334">
        <v>61</v>
      </c>
      <c r="B334">
        <f>CalculateVacation(VLOOKUP(A334,'Employee Data'!A7:P106,16,FALSE),VLOOKUP(A334,'Employee Data'!A7:V106,22,FALSE))</f>
        <v>126</v>
      </c>
      <c r="C334">
        <v>30</v>
      </c>
      <c r="D334" s="3">
        <v>43987</v>
      </c>
      <c r="E334" s="3">
        <v>43993</v>
      </c>
      <c r="F334">
        <f t="shared" si="5"/>
        <v>96</v>
      </c>
    </row>
    <row r="335" spans="1:6" x14ac:dyDescent="0.25">
      <c r="A335">
        <v>43</v>
      </c>
      <c r="B335">
        <f>CalculateVacation(VLOOKUP(A335,'Employee Data'!A7:P106,16,FALSE),VLOOKUP(A335,'Employee Data'!A7:V106,22,FALSE))</f>
        <v>52</v>
      </c>
      <c r="C335">
        <v>8</v>
      </c>
      <c r="D335" s="3">
        <v>44026</v>
      </c>
      <c r="E335" s="3">
        <v>44030</v>
      </c>
      <c r="F335">
        <f t="shared" si="5"/>
        <v>44</v>
      </c>
    </row>
    <row r="336" spans="1:6" x14ac:dyDescent="0.25">
      <c r="A336">
        <v>65</v>
      </c>
      <c r="B336">
        <f>CalculateVacation(VLOOKUP(A336,'Employee Data'!A7:P106,16,FALSE),VLOOKUP(A336,'Employee Data'!A7:V106,22,FALSE))</f>
        <v>112.5</v>
      </c>
      <c r="C336">
        <v>12</v>
      </c>
      <c r="D336" s="3">
        <v>43470</v>
      </c>
      <c r="E336" s="3">
        <v>43647</v>
      </c>
      <c r="F336">
        <f t="shared" si="5"/>
        <v>100.5</v>
      </c>
    </row>
    <row r="337" spans="1:6" x14ac:dyDescent="0.25">
      <c r="A337">
        <v>57</v>
      </c>
      <c r="B337">
        <f>CalculateVacation(VLOOKUP(A337,'Employee Data'!A7:P106,16,FALSE),VLOOKUP(A337,'Employee Data'!A7:V106,22,FALSE))</f>
        <v>99</v>
      </c>
      <c r="C337">
        <v>5</v>
      </c>
      <c r="D337" s="3">
        <v>43693</v>
      </c>
      <c r="E337" s="3">
        <v>43699</v>
      </c>
      <c r="F337">
        <f t="shared" si="5"/>
        <v>94</v>
      </c>
    </row>
    <row r="338" spans="1:6" x14ac:dyDescent="0.25">
      <c r="A338">
        <v>29</v>
      </c>
      <c r="B338">
        <f>CalculateVacation(VLOOKUP(A338,'Employee Data'!A7:P106,16,FALSE),VLOOKUP(A338,'Employee Data'!A7:V106,22,FALSE))</f>
        <v>412.5</v>
      </c>
      <c r="C338">
        <v>26</v>
      </c>
      <c r="D338" s="3">
        <v>44100</v>
      </c>
      <c r="E338" s="3">
        <v>44110</v>
      </c>
      <c r="F338">
        <f t="shared" si="5"/>
        <v>386.5</v>
      </c>
    </row>
    <row r="339" spans="1:6" x14ac:dyDescent="0.25">
      <c r="A339">
        <v>39</v>
      </c>
      <c r="B339">
        <f>CalculateVacation(VLOOKUP(A339,'Employee Data'!A7:P106,16,FALSE),VLOOKUP(A339,'Employee Data'!A7:V106,22,FALSE))</f>
        <v>0</v>
      </c>
      <c r="C339">
        <v>19</v>
      </c>
      <c r="D339" s="3">
        <v>43584</v>
      </c>
      <c r="E339" s="3">
        <v>43686</v>
      </c>
      <c r="F339">
        <f t="shared" si="5"/>
        <v>-19</v>
      </c>
    </row>
    <row r="340" spans="1:6" x14ac:dyDescent="0.25">
      <c r="A340">
        <v>13</v>
      </c>
      <c r="B340">
        <f>CalculateVacation(VLOOKUP(A340,'Employee Data'!A7:P106,16,FALSE),VLOOKUP(A340,'Employee Data'!A7:V106,22,FALSE))</f>
        <v>633</v>
      </c>
      <c r="C340">
        <v>14</v>
      </c>
      <c r="D340" s="3">
        <v>43819</v>
      </c>
      <c r="E340" s="3">
        <v>43819</v>
      </c>
      <c r="F340">
        <f t="shared" si="5"/>
        <v>619</v>
      </c>
    </row>
    <row r="341" spans="1:6" x14ac:dyDescent="0.25">
      <c r="A341">
        <v>20</v>
      </c>
      <c r="B341">
        <f>CalculateVacation(VLOOKUP(A341,'Employee Data'!A7:P106,16,FALSE),VLOOKUP(A341,'Employee Data'!A7:V106,22,FALSE))</f>
        <v>410</v>
      </c>
      <c r="C341">
        <v>3</v>
      </c>
      <c r="D341" s="3">
        <v>43487</v>
      </c>
      <c r="E341" s="3">
        <v>43997</v>
      </c>
      <c r="F341">
        <f t="shared" si="5"/>
        <v>407</v>
      </c>
    </row>
    <row r="342" spans="1:6" x14ac:dyDescent="0.25">
      <c r="A342">
        <v>52</v>
      </c>
      <c r="B342">
        <f>CalculateVacation(VLOOKUP(A342,'Employee Data'!A7:P106,16,FALSE),VLOOKUP(A342,'Employee Data'!A7:V106,22,FALSE))</f>
        <v>8</v>
      </c>
      <c r="C342">
        <v>25</v>
      </c>
      <c r="D342" s="3">
        <v>43994</v>
      </c>
      <c r="E342" s="3">
        <v>43995</v>
      </c>
      <c r="F342">
        <f t="shared" si="5"/>
        <v>-17</v>
      </c>
    </row>
    <row r="343" spans="1:6" x14ac:dyDescent="0.25">
      <c r="A343">
        <v>38</v>
      </c>
      <c r="B343">
        <f>CalculateVacation(VLOOKUP(A343,'Employee Data'!A7:P106,16,FALSE),VLOOKUP(A343,'Employee Data'!A7:V106,22,FALSE))</f>
        <v>387.5</v>
      </c>
      <c r="C343">
        <v>4</v>
      </c>
      <c r="D343" s="3">
        <v>44091</v>
      </c>
      <c r="E343" s="3">
        <v>44100</v>
      </c>
      <c r="F343">
        <f t="shared" si="5"/>
        <v>383.5</v>
      </c>
    </row>
    <row r="344" spans="1:6" x14ac:dyDescent="0.25">
      <c r="A344">
        <v>42</v>
      </c>
      <c r="B344">
        <f>CalculateVacation(VLOOKUP(A344,'Employee Data'!A7:P106,16,FALSE),VLOOKUP(A344,'Employee Data'!A7:V106,22,FALSE))</f>
        <v>669</v>
      </c>
      <c r="C344">
        <v>8</v>
      </c>
      <c r="D344" s="3">
        <v>43933</v>
      </c>
      <c r="E344" s="3">
        <v>43942</v>
      </c>
      <c r="F344">
        <f t="shared" si="5"/>
        <v>661</v>
      </c>
    </row>
    <row r="345" spans="1:6" x14ac:dyDescent="0.25">
      <c r="A345">
        <v>79</v>
      </c>
      <c r="B345">
        <f>CalculateVacation(VLOOKUP(A345,'Employee Data'!A7:P106,16,FALSE),VLOOKUP(A345,'Employee Data'!A7:V106,22,FALSE))</f>
        <v>543</v>
      </c>
      <c r="C345">
        <v>6</v>
      </c>
      <c r="D345" s="3">
        <v>43985</v>
      </c>
      <c r="E345" s="3">
        <v>43986</v>
      </c>
      <c r="F345">
        <f t="shared" si="5"/>
        <v>537</v>
      </c>
    </row>
    <row r="346" spans="1:6" x14ac:dyDescent="0.25">
      <c r="A346">
        <v>27</v>
      </c>
      <c r="B346">
        <f>CalculateVacation(VLOOKUP(A346,'Employee Data'!A7:P106,16,FALSE),VLOOKUP(A346,'Employee Data'!A7:V106,22,FALSE))</f>
        <v>0</v>
      </c>
      <c r="C346">
        <v>10</v>
      </c>
      <c r="D346" s="3">
        <v>43995</v>
      </c>
      <c r="E346" s="3">
        <v>44004</v>
      </c>
      <c r="F346">
        <f t="shared" si="5"/>
        <v>-10</v>
      </c>
    </row>
    <row r="347" spans="1:6" x14ac:dyDescent="0.25">
      <c r="A347">
        <v>8</v>
      </c>
      <c r="B347">
        <f>CalculateVacation(VLOOKUP(A347,'Employee Data'!A7:P106,16,FALSE),VLOOKUP(A347,'Employee Data'!A7:V106,22,FALSE))</f>
        <v>588</v>
      </c>
      <c r="C347">
        <v>8</v>
      </c>
      <c r="D347" s="3">
        <v>43734</v>
      </c>
      <c r="E347" s="3">
        <v>44057</v>
      </c>
      <c r="F347">
        <f t="shared" si="5"/>
        <v>580</v>
      </c>
    </row>
    <row r="348" spans="1:6" x14ac:dyDescent="0.25">
      <c r="A348">
        <v>67</v>
      </c>
      <c r="B348">
        <f>CalculateVacation(VLOOKUP(A348,'Employee Data'!A7:P106,16,FALSE),VLOOKUP(A348,'Employee Data'!A7:V106,22,FALSE))</f>
        <v>20</v>
      </c>
      <c r="C348">
        <v>19</v>
      </c>
      <c r="D348" s="3">
        <v>43477</v>
      </c>
      <c r="E348" s="3">
        <v>43863</v>
      </c>
      <c r="F348">
        <f t="shared" si="5"/>
        <v>1</v>
      </c>
    </row>
    <row r="349" spans="1:6" x14ac:dyDescent="0.25">
      <c r="A349">
        <v>34</v>
      </c>
      <c r="B349">
        <f>CalculateVacation(VLOOKUP(A349,'Employee Data'!A7:P106,16,FALSE),VLOOKUP(A349,'Employee Data'!A7:V106,22,FALSE))</f>
        <v>591</v>
      </c>
      <c r="C349">
        <v>13</v>
      </c>
      <c r="D349" s="3">
        <v>44061</v>
      </c>
      <c r="E349" s="3">
        <v>44068</v>
      </c>
      <c r="F349">
        <f t="shared" si="5"/>
        <v>578</v>
      </c>
    </row>
    <row r="350" spans="1:6" x14ac:dyDescent="0.25">
      <c r="A350">
        <v>45</v>
      </c>
      <c r="B350">
        <f>CalculateVacation(VLOOKUP(A350,'Employee Data'!A7:P106,16,FALSE),VLOOKUP(A350,'Employee Data'!A7:V106,22,FALSE))</f>
        <v>45</v>
      </c>
      <c r="C350">
        <v>29</v>
      </c>
      <c r="D350" s="3">
        <v>43734</v>
      </c>
      <c r="E350" s="3">
        <v>43737</v>
      </c>
      <c r="F350">
        <f t="shared" si="5"/>
        <v>16</v>
      </c>
    </row>
    <row r="351" spans="1:6" x14ac:dyDescent="0.25">
      <c r="A351">
        <v>10</v>
      </c>
      <c r="B351">
        <f>CalculateVacation(VLOOKUP(A351,'Employee Data'!A7:P106,16,FALSE),VLOOKUP(A351,'Employee Data'!A7:V106,22,FALSE))</f>
        <v>150</v>
      </c>
      <c r="C351">
        <v>3</v>
      </c>
      <c r="D351" s="3">
        <v>44007</v>
      </c>
      <c r="E351" s="3">
        <v>44015</v>
      </c>
      <c r="F351">
        <f t="shared" si="5"/>
        <v>147</v>
      </c>
    </row>
    <row r="352" spans="1:6" x14ac:dyDescent="0.25">
      <c r="A352">
        <v>39</v>
      </c>
      <c r="B352">
        <f>CalculateVacation(VLOOKUP(A352,'Employee Data'!A7:P106,16,FALSE),VLOOKUP(A352,'Employee Data'!A7:V106,22,FALSE))</f>
        <v>0</v>
      </c>
      <c r="C352">
        <v>11</v>
      </c>
      <c r="D352" s="3">
        <v>44004</v>
      </c>
      <c r="E352" s="3">
        <v>44005</v>
      </c>
      <c r="F352">
        <f t="shared" si="5"/>
        <v>-11</v>
      </c>
    </row>
    <row r="353" spans="1:6" x14ac:dyDescent="0.25">
      <c r="A353">
        <v>14</v>
      </c>
      <c r="B353">
        <f>CalculateVacation(VLOOKUP(A353,'Employee Data'!A7:P106,16,FALSE),VLOOKUP(A353,'Employee Data'!A7:V106,22,FALSE))</f>
        <v>0</v>
      </c>
      <c r="C353">
        <v>6</v>
      </c>
      <c r="D353" s="3">
        <v>43468</v>
      </c>
      <c r="E353" s="3">
        <v>44056</v>
      </c>
      <c r="F353">
        <f t="shared" si="5"/>
        <v>-6</v>
      </c>
    </row>
    <row r="354" spans="1:6" x14ac:dyDescent="0.25">
      <c r="A354">
        <v>10</v>
      </c>
      <c r="B354">
        <f>CalculateVacation(VLOOKUP(A354,'Employee Data'!A7:P106,16,FALSE),VLOOKUP(A354,'Employee Data'!A7:V106,22,FALSE))</f>
        <v>150</v>
      </c>
      <c r="C354">
        <v>16</v>
      </c>
      <c r="D354" s="3">
        <v>43682</v>
      </c>
      <c r="E354" s="3">
        <v>43724</v>
      </c>
      <c r="F354">
        <f t="shared" si="5"/>
        <v>134</v>
      </c>
    </row>
    <row r="355" spans="1:6" x14ac:dyDescent="0.25">
      <c r="A355">
        <v>54</v>
      </c>
      <c r="B355">
        <f>CalculateVacation(VLOOKUP(A355,'Employee Data'!A7:P106,16,FALSE),VLOOKUP(A355,'Employee Data'!A7:V106,22,FALSE))</f>
        <v>145.5</v>
      </c>
      <c r="C355">
        <v>1</v>
      </c>
      <c r="D355" s="3">
        <v>44013</v>
      </c>
      <c r="E355" s="3">
        <v>44103</v>
      </c>
      <c r="F355">
        <f t="shared" si="5"/>
        <v>144.5</v>
      </c>
    </row>
    <row r="356" spans="1:6" x14ac:dyDescent="0.25">
      <c r="A356">
        <v>31</v>
      </c>
      <c r="B356">
        <f>CalculateVacation(VLOOKUP(A356,'Employee Data'!A7:P106,16,FALSE),VLOOKUP(A356,'Employee Data'!A7:V106,22,FALSE))</f>
        <v>570</v>
      </c>
      <c r="C356">
        <v>22</v>
      </c>
      <c r="D356" s="3">
        <v>44084</v>
      </c>
      <c r="E356" s="3">
        <v>44090</v>
      </c>
      <c r="F356">
        <f t="shared" si="5"/>
        <v>548</v>
      </c>
    </row>
    <row r="357" spans="1:6" x14ac:dyDescent="0.25">
      <c r="A357">
        <v>20</v>
      </c>
      <c r="B357">
        <f>CalculateVacation(VLOOKUP(A357,'Employee Data'!A7:P106,16,FALSE),VLOOKUP(A357,'Employee Data'!A7:V106,22,FALSE))</f>
        <v>410</v>
      </c>
      <c r="C357">
        <v>12</v>
      </c>
      <c r="D357" s="3">
        <v>43640</v>
      </c>
      <c r="E357" s="3">
        <v>44086</v>
      </c>
      <c r="F357">
        <f t="shared" si="5"/>
        <v>398</v>
      </c>
    </row>
    <row r="358" spans="1:6" x14ac:dyDescent="0.25">
      <c r="A358">
        <v>2</v>
      </c>
      <c r="B358">
        <f>CalculateVacation(VLOOKUP(A358,'Employee Data'!A7:P106,16,FALSE),VLOOKUP(A358,'Employee Data'!A7:V106,22,FALSE))</f>
        <v>130.5</v>
      </c>
      <c r="C358">
        <v>1</v>
      </c>
      <c r="D358" s="3">
        <v>43577</v>
      </c>
      <c r="E358" s="3">
        <v>43965</v>
      </c>
      <c r="F358">
        <f t="shared" si="5"/>
        <v>129.5</v>
      </c>
    </row>
    <row r="359" spans="1:6" x14ac:dyDescent="0.25">
      <c r="A359">
        <v>56</v>
      </c>
      <c r="B359">
        <f>CalculateVacation(VLOOKUP(A359,'Employee Data'!A7:P106,16,FALSE),VLOOKUP(A359,'Employee Data'!A7:V106,22,FALSE))</f>
        <v>362.5</v>
      </c>
      <c r="C359">
        <v>10</v>
      </c>
      <c r="D359" s="3">
        <v>43898</v>
      </c>
      <c r="E359" s="3">
        <v>43900</v>
      </c>
      <c r="F359">
        <f t="shared" si="5"/>
        <v>352.5</v>
      </c>
    </row>
    <row r="360" spans="1:6" x14ac:dyDescent="0.25">
      <c r="A360">
        <v>90</v>
      </c>
      <c r="B360">
        <f>CalculateVacation(VLOOKUP(A360,'Employee Data'!A7:P106,16,FALSE),VLOOKUP(A360,'Employee Data'!A7:V106,22,FALSE))</f>
        <v>154.5</v>
      </c>
      <c r="C360">
        <v>17</v>
      </c>
      <c r="D360" s="3">
        <v>43832</v>
      </c>
      <c r="E360" s="3">
        <v>43969</v>
      </c>
      <c r="F360">
        <f t="shared" si="5"/>
        <v>137.5</v>
      </c>
    </row>
    <row r="361" spans="1:6" x14ac:dyDescent="0.25">
      <c r="A361">
        <v>28</v>
      </c>
      <c r="B361">
        <f>CalculateVacation(VLOOKUP(A361,'Employee Data'!A7:P106,16,FALSE),VLOOKUP(A361,'Employee Data'!A7:V106,22,FALSE))</f>
        <v>15.5</v>
      </c>
      <c r="C361">
        <v>12</v>
      </c>
      <c r="D361" s="3">
        <v>43720</v>
      </c>
      <c r="E361" s="3">
        <v>44068</v>
      </c>
      <c r="F361">
        <f t="shared" si="5"/>
        <v>3.5</v>
      </c>
    </row>
    <row r="362" spans="1:6" x14ac:dyDescent="0.25">
      <c r="A362">
        <v>48</v>
      </c>
      <c r="B362">
        <f>CalculateVacation(VLOOKUP(A362,'Employee Data'!A7:P106,16,FALSE),VLOOKUP(A362,'Employee Data'!A7:V106,22,FALSE))</f>
        <v>174</v>
      </c>
      <c r="C362">
        <v>18</v>
      </c>
      <c r="D362" s="3">
        <v>43831</v>
      </c>
      <c r="E362" s="3">
        <v>43920</v>
      </c>
      <c r="F362">
        <f t="shared" si="5"/>
        <v>156</v>
      </c>
    </row>
    <row r="363" spans="1:6" x14ac:dyDescent="0.25">
      <c r="A363">
        <v>82</v>
      </c>
      <c r="B363">
        <f>CalculateVacation(VLOOKUP(A363,'Employee Data'!A7:P106,16,FALSE),VLOOKUP(A363,'Employee Data'!A7:V106,22,FALSE))</f>
        <v>0</v>
      </c>
      <c r="C363">
        <v>1</v>
      </c>
      <c r="D363" s="3">
        <v>43932</v>
      </c>
      <c r="E363" s="3">
        <v>43933</v>
      </c>
      <c r="F363">
        <f t="shared" si="5"/>
        <v>-1</v>
      </c>
    </row>
    <row r="364" spans="1:6" x14ac:dyDescent="0.25">
      <c r="A364">
        <v>82</v>
      </c>
      <c r="B364">
        <f>CalculateVacation(VLOOKUP(A364,'Employee Data'!A7:P106,16,FALSE),VLOOKUP(A364,'Employee Data'!A7:V106,22,FALSE))</f>
        <v>0</v>
      </c>
      <c r="C364">
        <v>13</v>
      </c>
      <c r="D364" s="3">
        <v>43473</v>
      </c>
      <c r="E364" s="3">
        <v>43705</v>
      </c>
      <c r="F364">
        <f t="shared" si="5"/>
        <v>-13</v>
      </c>
    </row>
    <row r="365" spans="1:6" x14ac:dyDescent="0.25">
      <c r="A365">
        <v>82</v>
      </c>
      <c r="B365">
        <f>CalculateVacation(VLOOKUP(A365,'Employee Data'!A7:P106,16,FALSE),VLOOKUP(A365,'Employee Data'!A7:V106,22,FALSE))</f>
        <v>0</v>
      </c>
      <c r="C365">
        <v>1</v>
      </c>
      <c r="D365" s="3">
        <v>44104</v>
      </c>
      <c r="E365" s="3">
        <v>44109</v>
      </c>
      <c r="F365">
        <f t="shared" si="5"/>
        <v>-1</v>
      </c>
    </row>
    <row r="366" spans="1:6" x14ac:dyDescent="0.25">
      <c r="A366">
        <v>14</v>
      </c>
      <c r="B366">
        <f>CalculateVacation(VLOOKUP(A366,'Employee Data'!A7:P106,16,FALSE),VLOOKUP(A366,'Employee Data'!A7:V106,22,FALSE))</f>
        <v>0</v>
      </c>
      <c r="C366">
        <v>17</v>
      </c>
      <c r="D366" s="3">
        <v>43635</v>
      </c>
      <c r="E366" s="3">
        <v>43665</v>
      </c>
      <c r="F366">
        <f t="shared" si="5"/>
        <v>-17</v>
      </c>
    </row>
    <row r="367" spans="1:6" x14ac:dyDescent="0.25">
      <c r="A367">
        <v>31</v>
      </c>
      <c r="B367">
        <f>CalculateVacation(VLOOKUP(A367,'Employee Data'!A7:P106,16,FALSE),VLOOKUP(A367,'Employee Data'!A7:V106,22,FALSE))</f>
        <v>570</v>
      </c>
      <c r="C367">
        <v>21</v>
      </c>
      <c r="D367" s="3">
        <v>44081</v>
      </c>
      <c r="E367" s="3">
        <v>44086</v>
      </c>
      <c r="F367">
        <f t="shared" si="5"/>
        <v>549</v>
      </c>
    </row>
    <row r="368" spans="1:6" x14ac:dyDescent="0.25">
      <c r="A368">
        <v>70</v>
      </c>
      <c r="B368">
        <f>CalculateVacation(VLOOKUP(A368,'Employee Data'!A7:P106,16,FALSE),VLOOKUP(A368,'Employee Data'!A7:V106,22,FALSE))</f>
        <v>543</v>
      </c>
      <c r="C368">
        <v>16</v>
      </c>
      <c r="D368" s="3">
        <v>43719</v>
      </c>
      <c r="E368" s="3">
        <v>43726</v>
      </c>
      <c r="F368">
        <f t="shared" si="5"/>
        <v>527</v>
      </c>
    </row>
    <row r="369" spans="1:6" x14ac:dyDescent="0.25">
      <c r="A369">
        <v>46</v>
      </c>
      <c r="B369">
        <f>CalculateVacation(VLOOKUP(A369,'Employee Data'!A7:P106,16,FALSE),VLOOKUP(A369,'Employee Data'!A7:V106,22,FALSE))</f>
        <v>50</v>
      </c>
      <c r="C369">
        <v>21</v>
      </c>
      <c r="D369" s="3">
        <v>43926</v>
      </c>
      <c r="E369" s="3">
        <v>43930</v>
      </c>
      <c r="F369">
        <f t="shared" si="5"/>
        <v>29</v>
      </c>
    </row>
    <row r="370" spans="1:6" x14ac:dyDescent="0.25">
      <c r="A370">
        <v>48</v>
      </c>
      <c r="B370">
        <f>CalculateVacation(VLOOKUP(A370,'Employee Data'!A7:P106,16,FALSE),VLOOKUP(A370,'Employee Data'!A7:V106,22,FALSE))</f>
        <v>174</v>
      </c>
      <c r="C370">
        <v>23</v>
      </c>
      <c r="D370" s="3">
        <v>44056</v>
      </c>
      <c r="E370" s="3">
        <v>44056</v>
      </c>
      <c r="F370">
        <f t="shared" si="5"/>
        <v>151</v>
      </c>
    </row>
    <row r="371" spans="1:6" x14ac:dyDescent="0.25">
      <c r="A371">
        <v>64</v>
      </c>
      <c r="B371">
        <f>CalculateVacation(VLOOKUP(A371,'Employee Data'!A7:P106,16,FALSE),VLOOKUP(A371,'Employee Data'!A7:V106,22,FALSE))</f>
        <v>39</v>
      </c>
      <c r="C371">
        <v>10</v>
      </c>
      <c r="D371" s="3">
        <v>43561</v>
      </c>
      <c r="E371" s="3">
        <v>43691</v>
      </c>
      <c r="F371">
        <f t="shared" si="5"/>
        <v>29</v>
      </c>
    </row>
    <row r="372" spans="1:6" x14ac:dyDescent="0.25">
      <c r="A372">
        <v>95</v>
      </c>
      <c r="B372">
        <f>CalculateVacation(VLOOKUP(A372,'Employee Data'!A7:P106,16,FALSE),VLOOKUP(A372,'Employee Data'!A7:V106,22,FALSE))</f>
        <v>618</v>
      </c>
      <c r="C372">
        <v>30</v>
      </c>
      <c r="D372" s="3">
        <v>43499</v>
      </c>
      <c r="E372" s="3">
        <v>43867</v>
      </c>
      <c r="F372">
        <f t="shared" si="5"/>
        <v>588</v>
      </c>
    </row>
    <row r="373" spans="1:6" x14ac:dyDescent="0.25">
      <c r="A373">
        <v>94</v>
      </c>
      <c r="B373">
        <f>CalculateVacation(VLOOKUP(A373,'Employee Data'!A7:P106,16,FALSE),VLOOKUP(A373,'Employee Data'!A7:V106,22,FALSE))</f>
        <v>130.5</v>
      </c>
      <c r="C373">
        <v>28</v>
      </c>
      <c r="D373" s="3">
        <v>43720</v>
      </c>
      <c r="E373" s="3">
        <v>43725</v>
      </c>
      <c r="F373">
        <f t="shared" si="5"/>
        <v>102.5</v>
      </c>
    </row>
    <row r="374" spans="1:6" x14ac:dyDescent="0.25">
      <c r="A374">
        <v>73</v>
      </c>
      <c r="B374">
        <f>CalculateVacation(VLOOKUP(A374,'Employee Data'!A7:P106,16,FALSE),VLOOKUP(A374,'Employee Data'!A7:V106,22,FALSE))</f>
        <v>105</v>
      </c>
      <c r="C374">
        <v>26</v>
      </c>
      <c r="D374" s="3">
        <v>43635</v>
      </c>
      <c r="E374" s="3">
        <v>43712</v>
      </c>
      <c r="F374">
        <f t="shared" si="5"/>
        <v>79</v>
      </c>
    </row>
    <row r="375" spans="1:6" x14ac:dyDescent="0.25">
      <c r="A375">
        <v>22</v>
      </c>
      <c r="B375">
        <f>CalculateVacation(VLOOKUP(A375,'Employee Data'!A7:P106,16,FALSE),VLOOKUP(A375,'Employee Data'!A7:V106,22,FALSE))</f>
        <v>43</v>
      </c>
      <c r="C375">
        <v>25</v>
      </c>
      <c r="D375" s="3">
        <v>43636</v>
      </c>
      <c r="E375" s="3">
        <v>43646</v>
      </c>
      <c r="F375">
        <f t="shared" si="5"/>
        <v>18</v>
      </c>
    </row>
    <row r="376" spans="1:6" x14ac:dyDescent="0.25">
      <c r="A376">
        <v>29</v>
      </c>
      <c r="B376">
        <f>CalculateVacation(VLOOKUP(A376,'Employee Data'!A7:P106,16,FALSE),VLOOKUP(A376,'Employee Data'!A7:V106,22,FALSE))</f>
        <v>412.5</v>
      </c>
      <c r="C376">
        <v>26</v>
      </c>
      <c r="D376" s="3">
        <v>44035</v>
      </c>
      <c r="E376" s="3">
        <v>44041</v>
      </c>
      <c r="F376">
        <f t="shared" si="5"/>
        <v>386.5</v>
      </c>
    </row>
    <row r="377" spans="1:6" x14ac:dyDescent="0.25">
      <c r="A377">
        <v>77</v>
      </c>
      <c r="B377">
        <f>CalculateVacation(VLOOKUP(A377,'Employee Data'!A7:P106,16,FALSE),VLOOKUP(A377,'Employee Data'!A7:V106,22,FALSE))</f>
        <v>437.5</v>
      </c>
      <c r="C377">
        <v>9</v>
      </c>
      <c r="D377" s="3">
        <v>43969</v>
      </c>
      <c r="E377" s="3">
        <v>43977</v>
      </c>
      <c r="F377">
        <f t="shared" si="5"/>
        <v>428.5</v>
      </c>
    </row>
    <row r="378" spans="1:6" x14ac:dyDescent="0.25">
      <c r="A378">
        <v>77</v>
      </c>
      <c r="B378">
        <f>CalculateVacation(VLOOKUP(A378,'Employee Data'!A7:P106,16,FALSE),VLOOKUP(A378,'Employee Data'!A7:V106,22,FALSE))</f>
        <v>437.5</v>
      </c>
      <c r="C378">
        <v>8</v>
      </c>
      <c r="D378" s="3">
        <v>43865</v>
      </c>
      <c r="E378" s="3">
        <v>43871</v>
      </c>
      <c r="F378">
        <f t="shared" si="5"/>
        <v>429.5</v>
      </c>
    </row>
    <row r="379" spans="1:6" x14ac:dyDescent="0.25">
      <c r="A379">
        <v>82</v>
      </c>
      <c r="B379">
        <f>CalculateVacation(VLOOKUP(A379,'Employee Data'!A7:P106,16,FALSE),VLOOKUP(A379,'Employee Data'!A7:V106,22,FALSE))</f>
        <v>0</v>
      </c>
      <c r="C379">
        <v>22</v>
      </c>
      <c r="D379" s="3">
        <v>43879</v>
      </c>
      <c r="E379" s="3">
        <v>43879</v>
      </c>
      <c r="F379">
        <f t="shared" si="5"/>
        <v>-22</v>
      </c>
    </row>
    <row r="380" spans="1:6" x14ac:dyDescent="0.25">
      <c r="A380">
        <v>1</v>
      </c>
      <c r="B380">
        <f>CalculateVacation(VLOOKUP(A380,'Employee Data'!A7:P106,16,FALSE),VLOOKUP(A380,'Employee Data'!A7:V106,22,FALSE))</f>
        <v>244</v>
      </c>
      <c r="C380">
        <v>25</v>
      </c>
      <c r="D380" s="3">
        <v>44009</v>
      </c>
      <c r="E380" s="3">
        <v>44019</v>
      </c>
      <c r="F380">
        <f t="shared" si="5"/>
        <v>219</v>
      </c>
    </row>
    <row r="381" spans="1:6" x14ac:dyDescent="0.25">
      <c r="A381">
        <v>12</v>
      </c>
      <c r="B381">
        <f>CalculateVacation(VLOOKUP(A381,'Employee Data'!A7:P106,16,FALSE),VLOOKUP(A381,'Employee Data'!A7:V106,22,FALSE))</f>
        <v>636</v>
      </c>
      <c r="C381">
        <v>10</v>
      </c>
      <c r="D381" s="3">
        <v>43651</v>
      </c>
      <c r="E381" s="3">
        <v>43653</v>
      </c>
      <c r="F381">
        <f t="shared" si="5"/>
        <v>626</v>
      </c>
    </row>
    <row r="382" spans="1:6" x14ac:dyDescent="0.25">
      <c r="A382">
        <v>78</v>
      </c>
      <c r="B382">
        <f>CalculateVacation(VLOOKUP(A382,'Employee Data'!A7:P106,16,FALSE),VLOOKUP(A382,'Employee Data'!A7:V106,22,FALSE))</f>
        <v>0</v>
      </c>
      <c r="C382">
        <v>4</v>
      </c>
      <c r="D382" s="3">
        <v>44067</v>
      </c>
      <c r="E382" s="3">
        <v>44092</v>
      </c>
      <c r="F382">
        <f t="shared" si="5"/>
        <v>-4</v>
      </c>
    </row>
    <row r="383" spans="1:6" x14ac:dyDescent="0.25">
      <c r="A383">
        <v>29</v>
      </c>
      <c r="B383">
        <f>CalculateVacation(VLOOKUP(A383,'Employee Data'!A7:P106,16,FALSE),VLOOKUP(A383,'Employee Data'!A7:V106,22,FALSE))</f>
        <v>412.5</v>
      </c>
      <c r="C383">
        <v>26</v>
      </c>
      <c r="D383" s="3">
        <v>43755</v>
      </c>
      <c r="E383" s="3">
        <v>44055</v>
      </c>
      <c r="F383">
        <f t="shared" si="5"/>
        <v>386.5</v>
      </c>
    </row>
    <row r="384" spans="1:6" x14ac:dyDescent="0.25">
      <c r="A384">
        <v>28</v>
      </c>
      <c r="B384">
        <f>CalculateVacation(VLOOKUP(A384,'Employee Data'!A7:P106,16,FALSE),VLOOKUP(A384,'Employee Data'!A7:V106,22,FALSE))</f>
        <v>15.5</v>
      </c>
      <c r="C384">
        <v>23</v>
      </c>
      <c r="D384" s="3">
        <v>43894</v>
      </c>
      <c r="E384" s="3">
        <v>43897</v>
      </c>
      <c r="F384">
        <f t="shared" si="5"/>
        <v>-7.5</v>
      </c>
    </row>
    <row r="385" spans="1:6" x14ac:dyDescent="0.25">
      <c r="A385">
        <v>13</v>
      </c>
      <c r="B385">
        <f>CalculateVacation(VLOOKUP(A385,'Employee Data'!A7:P106,16,FALSE),VLOOKUP(A385,'Employee Data'!A7:V106,22,FALSE))</f>
        <v>633</v>
      </c>
      <c r="C385">
        <v>21</v>
      </c>
      <c r="D385" s="3">
        <v>43870</v>
      </c>
      <c r="E385" s="3">
        <v>43875</v>
      </c>
      <c r="F385">
        <f t="shared" si="5"/>
        <v>612</v>
      </c>
    </row>
    <row r="386" spans="1:6" x14ac:dyDescent="0.25">
      <c r="A386">
        <v>74</v>
      </c>
      <c r="B386">
        <f>CalculateVacation(VLOOKUP(A386,'Employee Data'!A7:P106,16,FALSE),VLOOKUP(A386,'Employee Data'!A7:V106,22,FALSE))</f>
        <v>417.5</v>
      </c>
      <c r="C386">
        <v>29</v>
      </c>
      <c r="D386" s="3">
        <v>43721</v>
      </c>
      <c r="E386" s="3">
        <v>43758</v>
      </c>
      <c r="F386">
        <f t="shared" si="5"/>
        <v>388.5</v>
      </c>
    </row>
    <row r="387" spans="1:6" x14ac:dyDescent="0.25">
      <c r="A387">
        <v>18</v>
      </c>
      <c r="B387">
        <f>CalculateVacation(VLOOKUP(A387,'Employee Data'!A7:P106,16,FALSE),VLOOKUP(A387,'Employee Data'!A7:V106,22,FALSE))</f>
        <v>603</v>
      </c>
      <c r="C387">
        <v>30</v>
      </c>
      <c r="D387" s="3">
        <v>43510</v>
      </c>
      <c r="E387" s="3">
        <v>43520</v>
      </c>
      <c r="F387">
        <f t="shared" si="5"/>
        <v>573</v>
      </c>
    </row>
    <row r="388" spans="1:6" x14ac:dyDescent="0.25">
      <c r="A388">
        <v>66</v>
      </c>
      <c r="B388">
        <f>CalculateVacation(VLOOKUP(A388,'Employee Data'!A7:P106,16,FALSE),VLOOKUP(A388,'Employee Data'!A7:V106,22,FALSE))</f>
        <v>0</v>
      </c>
      <c r="C388">
        <v>22</v>
      </c>
      <c r="D388" s="3">
        <v>43927</v>
      </c>
      <c r="E388" s="3">
        <v>43999</v>
      </c>
      <c r="F388">
        <f t="shared" si="5"/>
        <v>-22</v>
      </c>
    </row>
    <row r="389" spans="1:6" x14ac:dyDescent="0.25">
      <c r="A389">
        <v>29</v>
      </c>
      <c r="B389">
        <f>CalculateVacation(VLOOKUP(A389,'Employee Data'!A7:P106,16,FALSE),VLOOKUP(A389,'Employee Data'!A7:V106,22,FALSE))</f>
        <v>412.5</v>
      </c>
      <c r="C389">
        <v>17</v>
      </c>
      <c r="D389" s="3">
        <v>43920</v>
      </c>
      <c r="E389" s="3">
        <v>43927</v>
      </c>
      <c r="F389">
        <f t="shared" si="5"/>
        <v>395.5</v>
      </c>
    </row>
    <row r="390" spans="1:6" x14ac:dyDescent="0.25">
      <c r="A390">
        <v>34</v>
      </c>
      <c r="B390">
        <f>CalculateVacation(VLOOKUP(A390,'Employee Data'!A7:P106,16,FALSE),VLOOKUP(A390,'Employee Data'!A7:V106,22,FALSE))</f>
        <v>591</v>
      </c>
      <c r="C390">
        <v>15</v>
      </c>
      <c r="D390" s="3">
        <v>43897</v>
      </c>
      <c r="E390" s="3">
        <v>43905</v>
      </c>
      <c r="F390">
        <f t="shared" si="5"/>
        <v>576</v>
      </c>
    </row>
    <row r="391" spans="1:6" x14ac:dyDescent="0.25">
      <c r="A391">
        <v>78</v>
      </c>
      <c r="B391">
        <f>CalculateVacation(VLOOKUP(A391,'Employee Data'!A7:P106,16,FALSE),VLOOKUP(A391,'Employee Data'!A7:V106,22,FALSE))</f>
        <v>0</v>
      </c>
      <c r="C391">
        <v>24</v>
      </c>
      <c r="D391" s="3">
        <v>43502</v>
      </c>
      <c r="E391" s="3">
        <v>44004</v>
      </c>
      <c r="F391">
        <f t="shared" si="5"/>
        <v>-24</v>
      </c>
    </row>
    <row r="392" spans="1:6" x14ac:dyDescent="0.25">
      <c r="A392">
        <v>77</v>
      </c>
      <c r="B392">
        <f>CalculateVacation(VLOOKUP(A392,'Employee Data'!A7:P106,16,FALSE),VLOOKUP(A392,'Employee Data'!A7:V106,22,FALSE))</f>
        <v>437.5</v>
      </c>
      <c r="C392">
        <v>25</v>
      </c>
      <c r="D392" s="3">
        <v>43573</v>
      </c>
      <c r="E392" s="3">
        <v>43599</v>
      </c>
      <c r="F392">
        <f t="shared" ref="F392:F455" si="6">B392-C392</f>
        <v>412.5</v>
      </c>
    </row>
    <row r="393" spans="1:6" x14ac:dyDescent="0.25">
      <c r="A393">
        <v>4</v>
      </c>
      <c r="B393">
        <f>CalculateVacation(VLOOKUP(A393,'Employee Data'!A7:P106,16,FALSE),VLOOKUP(A393,'Employee Data'!A7:V106,22,FALSE))</f>
        <v>242</v>
      </c>
      <c r="C393">
        <v>25</v>
      </c>
      <c r="D393" s="3">
        <v>43581</v>
      </c>
      <c r="E393" s="3">
        <v>43807</v>
      </c>
      <c r="F393">
        <f t="shared" si="6"/>
        <v>217</v>
      </c>
    </row>
    <row r="394" spans="1:6" x14ac:dyDescent="0.25">
      <c r="A394">
        <v>3</v>
      </c>
      <c r="B394">
        <f>CalculateVacation(VLOOKUP(A394,'Employee Data'!A7:P106,16,FALSE),VLOOKUP(A394,'Employee Data'!A7:V106,22,FALSE))</f>
        <v>238</v>
      </c>
      <c r="C394">
        <v>30</v>
      </c>
      <c r="D394" s="3">
        <v>43976</v>
      </c>
      <c r="E394" s="3">
        <v>43984</v>
      </c>
      <c r="F394">
        <f t="shared" si="6"/>
        <v>208</v>
      </c>
    </row>
    <row r="395" spans="1:6" x14ac:dyDescent="0.25">
      <c r="A395">
        <v>39</v>
      </c>
      <c r="B395">
        <f>CalculateVacation(VLOOKUP(A395,'Employee Data'!A7:P106,16,FALSE),VLOOKUP(A395,'Employee Data'!A7:V106,22,FALSE))</f>
        <v>0</v>
      </c>
      <c r="C395">
        <v>20</v>
      </c>
      <c r="D395" s="3">
        <v>43748</v>
      </c>
      <c r="E395" s="3">
        <v>43752</v>
      </c>
      <c r="F395">
        <f t="shared" si="6"/>
        <v>-20</v>
      </c>
    </row>
    <row r="396" spans="1:6" x14ac:dyDescent="0.25">
      <c r="A396">
        <v>47</v>
      </c>
      <c r="B396">
        <f>CalculateVacation(VLOOKUP(A396,'Employee Data'!A7:P106,16,FALSE),VLOOKUP(A396,'Employee Data'!A7:V106,22,FALSE))</f>
        <v>585</v>
      </c>
      <c r="C396">
        <v>27</v>
      </c>
      <c r="D396" s="3">
        <v>44006</v>
      </c>
      <c r="E396" s="3">
        <v>44007</v>
      </c>
      <c r="F396">
        <f t="shared" si="6"/>
        <v>558</v>
      </c>
    </row>
    <row r="397" spans="1:6" x14ac:dyDescent="0.25">
      <c r="A397">
        <v>86</v>
      </c>
      <c r="B397">
        <f>CalculateVacation(VLOOKUP(A397,'Employee Data'!A7:P106,16,FALSE),VLOOKUP(A397,'Employee Data'!A7:V106,22,FALSE))</f>
        <v>618</v>
      </c>
      <c r="C397">
        <v>21</v>
      </c>
      <c r="D397" s="3">
        <v>43660</v>
      </c>
      <c r="E397" s="3">
        <v>43815</v>
      </c>
      <c r="F397">
        <f t="shared" si="6"/>
        <v>597</v>
      </c>
    </row>
    <row r="398" spans="1:6" x14ac:dyDescent="0.25">
      <c r="A398">
        <v>89</v>
      </c>
      <c r="B398">
        <f>CalculateVacation(VLOOKUP(A398,'Employee Data'!A7:P106,16,FALSE),VLOOKUP(A398,'Employee Data'!A7:V106,22,FALSE))</f>
        <v>126</v>
      </c>
      <c r="C398">
        <v>27</v>
      </c>
      <c r="D398" s="3">
        <v>43875</v>
      </c>
      <c r="E398" s="3">
        <v>43878</v>
      </c>
      <c r="F398">
        <f t="shared" si="6"/>
        <v>99</v>
      </c>
    </row>
    <row r="399" spans="1:6" x14ac:dyDescent="0.25">
      <c r="A399">
        <v>58</v>
      </c>
      <c r="B399">
        <f>CalculateVacation(VLOOKUP(A399,'Employee Data'!A7:P106,16,FALSE),VLOOKUP(A399,'Employee Data'!A7:V106,22,FALSE))</f>
        <v>114</v>
      </c>
      <c r="C399">
        <v>25</v>
      </c>
      <c r="D399" s="3">
        <v>43534</v>
      </c>
      <c r="E399" s="3">
        <v>43943</v>
      </c>
      <c r="F399">
        <f t="shared" si="6"/>
        <v>89</v>
      </c>
    </row>
    <row r="400" spans="1:6" x14ac:dyDescent="0.25">
      <c r="A400">
        <v>10</v>
      </c>
      <c r="B400">
        <f>CalculateVacation(VLOOKUP(A400,'Employee Data'!A7:P106,16,FALSE),VLOOKUP(A400,'Employee Data'!A7:V106,22,FALSE))</f>
        <v>150</v>
      </c>
      <c r="C400">
        <v>4</v>
      </c>
      <c r="D400" s="3">
        <v>43709</v>
      </c>
      <c r="E400" s="3">
        <v>44095</v>
      </c>
      <c r="F400">
        <f t="shared" si="6"/>
        <v>146</v>
      </c>
    </row>
    <row r="401" spans="1:6" x14ac:dyDescent="0.25">
      <c r="A401">
        <v>48</v>
      </c>
      <c r="B401">
        <f>CalculateVacation(VLOOKUP(A401,'Employee Data'!A7:P106,16,FALSE),VLOOKUP(A401,'Employee Data'!A7:V106,22,FALSE))</f>
        <v>174</v>
      </c>
      <c r="C401">
        <v>17</v>
      </c>
      <c r="D401" s="3">
        <v>43968</v>
      </c>
      <c r="E401" s="3">
        <v>43969</v>
      </c>
      <c r="F401">
        <f t="shared" si="6"/>
        <v>157</v>
      </c>
    </row>
    <row r="402" spans="1:6" x14ac:dyDescent="0.25">
      <c r="A402">
        <v>96</v>
      </c>
      <c r="B402">
        <f>CalculateVacation(VLOOKUP(A402,'Employee Data'!A7:P106,16,FALSE),VLOOKUP(A402,'Employee Data'!A7:V106,22,FALSE))</f>
        <v>0</v>
      </c>
      <c r="C402">
        <v>16</v>
      </c>
      <c r="D402" s="3">
        <v>43782</v>
      </c>
      <c r="E402" s="3">
        <v>43784</v>
      </c>
      <c r="F402">
        <f t="shared" si="6"/>
        <v>-16</v>
      </c>
    </row>
    <row r="403" spans="1:6" x14ac:dyDescent="0.25">
      <c r="A403">
        <v>14</v>
      </c>
      <c r="B403">
        <f>CalculateVacation(VLOOKUP(A403,'Employee Data'!A7:P106,16,FALSE),VLOOKUP(A403,'Employee Data'!A7:V106,22,FALSE))</f>
        <v>0</v>
      </c>
      <c r="C403">
        <v>26</v>
      </c>
      <c r="D403" s="3">
        <v>44089</v>
      </c>
      <c r="E403" s="3">
        <v>44093</v>
      </c>
      <c r="F403">
        <f t="shared" si="6"/>
        <v>-26</v>
      </c>
    </row>
    <row r="404" spans="1:6" x14ac:dyDescent="0.25">
      <c r="A404">
        <v>90</v>
      </c>
      <c r="B404">
        <f>CalculateVacation(VLOOKUP(A404,'Employee Data'!A7:P106,16,FALSE),VLOOKUP(A404,'Employee Data'!A7:V106,22,FALSE))</f>
        <v>154.5</v>
      </c>
      <c r="C404">
        <v>6</v>
      </c>
      <c r="D404" s="3">
        <v>43795</v>
      </c>
      <c r="E404" s="3">
        <v>43804</v>
      </c>
      <c r="F404">
        <f t="shared" si="6"/>
        <v>148.5</v>
      </c>
    </row>
    <row r="405" spans="1:6" x14ac:dyDescent="0.25">
      <c r="A405">
        <v>34</v>
      </c>
      <c r="B405">
        <f>CalculateVacation(VLOOKUP(A405,'Employee Data'!A7:P106,16,FALSE),VLOOKUP(A405,'Employee Data'!A7:V106,22,FALSE))</f>
        <v>591</v>
      </c>
      <c r="C405">
        <v>8</v>
      </c>
      <c r="D405" s="3">
        <v>43976</v>
      </c>
      <c r="E405" s="3">
        <v>43982</v>
      </c>
      <c r="F405">
        <f t="shared" si="6"/>
        <v>583</v>
      </c>
    </row>
    <row r="406" spans="1:6" x14ac:dyDescent="0.25">
      <c r="A406">
        <v>41</v>
      </c>
      <c r="B406">
        <f>CalculateVacation(VLOOKUP(A406,'Employee Data'!A7:P106,16,FALSE),VLOOKUP(A406,'Employee Data'!A7:V106,22,FALSE))</f>
        <v>365</v>
      </c>
      <c r="C406">
        <v>4</v>
      </c>
      <c r="D406" s="3">
        <v>43569</v>
      </c>
      <c r="E406" s="3">
        <v>43908</v>
      </c>
      <c r="F406">
        <f t="shared" si="6"/>
        <v>361</v>
      </c>
    </row>
    <row r="407" spans="1:6" x14ac:dyDescent="0.25">
      <c r="A407">
        <v>28</v>
      </c>
      <c r="B407">
        <f>CalculateVacation(VLOOKUP(A407,'Employee Data'!A7:P106,16,FALSE),VLOOKUP(A407,'Employee Data'!A7:V106,22,FALSE))</f>
        <v>15.5</v>
      </c>
      <c r="C407">
        <v>10</v>
      </c>
      <c r="D407" s="3">
        <v>43736</v>
      </c>
      <c r="E407" s="3">
        <v>43738</v>
      </c>
      <c r="F407">
        <f t="shared" si="6"/>
        <v>5.5</v>
      </c>
    </row>
    <row r="408" spans="1:6" x14ac:dyDescent="0.25">
      <c r="A408">
        <v>28</v>
      </c>
      <c r="B408">
        <f>CalculateVacation(VLOOKUP(A408,'Employee Data'!A7:P106,16,FALSE),VLOOKUP(A408,'Employee Data'!A7:V106,22,FALSE))</f>
        <v>15.5</v>
      </c>
      <c r="C408">
        <v>3</v>
      </c>
      <c r="D408" s="3">
        <v>43517</v>
      </c>
      <c r="E408" s="3">
        <v>43703</v>
      </c>
      <c r="F408">
        <f t="shared" si="6"/>
        <v>12.5</v>
      </c>
    </row>
    <row r="409" spans="1:6" x14ac:dyDescent="0.25">
      <c r="A409">
        <v>83</v>
      </c>
      <c r="B409">
        <f>CalculateVacation(VLOOKUP(A409,'Employee Data'!A7:P106,16,FALSE),VLOOKUP(A409,'Employee Data'!A7:V106,22,FALSE))</f>
        <v>405</v>
      </c>
      <c r="C409">
        <v>4</v>
      </c>
      <c r="D409" s="3">
        <v>43808</v>
      </c>
      <c r="E409" s="3">
        <v>43993</v>
      </c>
      <c r="F409">
        <f t="shared" si="6"/>
        <v>401</v>
      </c>
    </row>
    <row r="410" spans="1:6" x14ac:dyDescent="0.25">
      <c r="A410">
        <v>1</v>
      </c>
      <c r="B410">
        <f>CalculateVacation(VLOOKUP(A410,'Employee Data'!A7:P106,16,FALSE),VLOOKUP(A410,'Employee Data'!A7:V106,22,FALSE))</f>
        <v>244</v>
      </c>
      <c r="C410">
        <v>7</v>
      </c>
      <c r="D410" s="3">
        <v>43927</v>
      </c>
      <c r="E410" s="3">
        <v>43936</v>
      </c>
      <c r="F410">
        <f t="shared" si="6"/>
        <v>237</v>
      </c>
    </row>
    <row r="411" spans="1:6" x14ac:dyDescent="0.25">
      <c r="A411">
        <v>72</v>
      </c>
      <c r="B411">
        <f>CalculateVacation(VLOOKUP(A411,'Employee Data'!A7:P106,16,FALSE),VLOOKUP(A411,'Employee Data'!A7:V106,22,FALSE))</f>
        <v>537</v>
      </c>
      <c r="C411">
        <v>20</v>
      </c>
      <c r="D411" s="3">
        <v>44060</v>
      </c>
      <c r="E411" s="3">
        <v>44067</v>
      </c>
      <c r="F411">
        <f t="shared" si="6"/>
        <v>517</v>
      </c>
    </row>
    <row r="412" spans="1:6" x14ac:dyDescent="0.25">
      <c r="A412">
        <v>50</v>
      </c>
      <c r="B412">
        <f>CalculateVacation(VLOOKUP(A412,'Employee Data'!A7:P106,16,FALSE),VLOOKUP(A412,'Employee Data'!A7:V106,22,FALSE))</f>
        <v>144</v>
      </c>
      <c r="C412">
        <v>19</v>
      </c>
      <c r="D412" s="3">
        <v>43572</v>
      </c>
      <c r="E412" s="3">
        <v>44068</v>
      </c>
      <c r="F412">
        <f t="shared" si="6"/>
        <v>125</v>
      </c>
    </row>
    <row r="413" spans="1:6" x14ac:dyDescent="0.25">
      <c r="A413">
        <v>21</v>
      </c>
      <c r="B413">
        <f>CalculateVacation(VLOOKUP(A413,'Employee Data'!A7:P106,16,FALSE),VLOOKUP(A413,'Employee Data'!A7:V106,22,FALSE))</f>
        <v>175.5</v>
      </c>
      <c r="C413">
        <v>17</v>
      </c>
      <c r="D413" s="3">
        <v>43747</v>
      </c>
      <c r="E413" s="3">
        <v>43768</v>
      </c>
      <c r="F413">
        <f t="shared" si="6"/>
        <v>158.5</v>
      </c>
    </row>
    <row r="414" spans="1:6" x14ac:dyDescent="0.25">
      <c r="A414">
        <v>7</v>
      </c>
      <c r="B414">
        <f>CalculateVacation(VLOOKUP(A414,'Employee Data'!A7:P106,16,FALSE),VLOOKUP(A414,'Employee Data'!A7:V106,22,FALSE))</f>
        <v>642</v>
      </c>
      <c r="C414">
        <v>1</v>
      </c>
      <c r="D414" s="3">
        <v>43584</v>
      </c>
      <c r="E414" s="3">
        <v>44065</v>
      </c>
      <c r="F414">
        <f t="shared" si="6"/>
        <v>641</v>
      </c>
    </row>
    <row r="415" spans="1:6" x14ac:dyDescent="0.25">
      <c r="A415">
        <v>1</v>
      </c>
      <c r="B415">
        <f>CalculateVacation(VLOOKUP(A415,'Employee Data'!A7:P106,16,FALSE),VLOOKUP(A415,'Employee Data'!A7:V106,22,FALSE))</f>
        <v>244</v>
      </c>
      <c r="C415">
        <v>14</v>
      </c>
      <c r="D415" s="3">
        <v>43466</v>
      </c>
      <c r="E415" s="3">
        <v>43794</v>
      </c>
      <c r="F415">
        <f t="shared" si="6"/>
        <v>230</v>
      </c>
    </row>
    <row r="416" spans="1:6" x14ac:dyDescent="0.25">
      <c r="A416">
        <v>1</v>
      </c>
      <c r="B416">
        <f>CalculateVacation(VLOOKUP(A416,'Employee Data'!A7:P106,16,FALSE),VLOOKUP(A416,'Employee Data'!A7:V106,22,FALSE))</f>
        <v>244</v>
      </c>
      <c r="C416">
        <v>18</v>
      </c>
      <c r="D416" s="3">
        <v>43704</v>
      </c>
      <c r="E416" s="3">
        <v>43712</v>
      </c>
      <c r="F416">
        <f t="shared" si="6"/>
        <v>226</v>
      </c>
    </row>
    <row r="417" spans="1:6" x14ac:dyDescent="0.25">
      <c r="A417">
        <v>21</v>
      </c>
      <c r="B417">
        <f>CalculateVacation(VLOOKUP(A417,'Employee Data'!A7:P106,16,FALSE),VLOOKUP(A417,'Employee Data'!A7:V106,22,FALSE))</f>
        <v>175.5</v>
      </c>
      <c r="C417">
        <v>24</v>
      </c>
      <c r="D417" s="3">
        <v>43706</v>
      </c>
      <c r="E417" s="3">
        <v>43713</v>
      </c>
      <c r="F417">
        <f t="shared" si="6"/>
        <v>151.5</v>
      </c>
    </row>
    <row r="418" spans="1:6" x14ac:dyDescent="0.25">
      <c r="A418">
        <v>15</v>
      </c>
      <c r="B418">
        <f>CalculateVacation(VLOOKUP(A418,'Employee Data'!A7:P106,16,FALSE),VLOOKUP(A418,'Employee Data'!A7:V106,22,FALSE))</f>
        <v>651</v>
      </c>
      <c r="C418">
        <v>1</v>
      </c>
      <c r="D418" s="3">
        <v>43795</v>
      </c>
      <c r="E418" s="3">
        <v>43832</v>
      </c>
      <c r="F418">
        <f t="shared" si="6"/>
        <v>650</v>
      </c>
    </row>
    <row r="419" spans="1:6" x14ac:dyDescent="0.25">
      <c r="A419">
        <v>7</v>
      </c>
      <c r="B419">
        <f>CalculateVacation(VLOOKUP(A419,'Employee Data'!A7:P106,16,FALSE),VLOOKUP(A419,'Employee Data'!A7:V106,22,FALSE))</f>
        <v>642</v>
      </c>
      <c r="C419">
        <v>2</v>
      </c>
      <c r="D419" s="3">
        <v>43598</v>
      </c>
      <c r="E419" s="3">
        <v>43599</v>
      </c>
      <c r="F419">
        <f t="shared" si="6"/>
        <v>640</v>
      </c>
    </row>
    <row r="420" spans="1:6" x14ac:dyDescent="0.25">
      <c r="A420">
        <v>61</v>
      </c>
      <c r="B420">
        <f>CalculateVacation(VLOOKUP(A420,'Employee Data'!A7:P106,16,FALSE),VLOOKUP(A420,'Employee Data'!A7:V106,22,FALSE))</f>
        <v>126</v>
      </c>
      <c r="C420">
        <v>26</v>
      </c>
      <c r="D420" s="3">
        <v>43679</v>
      </c>
      <c r="E420" s="3">
        <v>43714</v>
      </c>
      <c r="F420">
        <f t="shared" si="6"/>
        <v>100</v>
      </c>
    </row>
    <row r="421" spans="1:6" x14ac:dyDescent="0.25">
      <c r="A421">
        <v>68</v>
      </c>
      <c r="B421">
        <f>CalculateVacation(VLOOKUP(A421,'Employee Data'!A7:P106,16,FALSE),VLOOKUP(A421,'Employee Data'!A7:V106,22,FALSE))</f>
        <v>540</v>
      </c>
      <c r="C421">
        <v>7</v>
      </c>
      <c r="D421" s="3">
        <v>43603</v>
      </c>
      <c r="E421" s="3">
        <v>43917</v>
      </c>
      <c r="F421">
        <f t="shared" si="6"/>
        <v>533</v>
      </c>
    </row>
    <row r="422" spans="1:6" x14ac:dyDescent="0.25">
      <c r="A422">
        <v>9</v>
      </c>
      <c r="B422">
        <f>CalculateVacation(VLOOKUP(A422,'Employee Data'!A7:P106,16,FALSE),VLOOKUP(A422,'Employee Data'!A7:V106,22,FALSE))</f>
        <v>36</v>
      </c>
      <c r="C422">
        <v>16</v>
      </c>
      <c r="D422" s="3">
        <v>44066</v>
      </c>
      <c r="E422" s="3">
        <v>44075</v>
      </c>
      <c r="F422">
        <f t="shared" si="6"/>
        <v>20</v>
      </c>
    </row>
    <row r="423" spans="1:6" x14ac:dyDescent="0.25">
      <c r="A423">
        <v>40</v>
      </c>
      <c r="B423">
        <f>CalculateVacation(VLOOKUP(A423,'Employee Data'!A7:P106,16,FALSE),VLOOKUP(A423,'Employee Data'!A7:V106,22,FALSE))</f>
        <v>672</v>
      </c>
      <c r="C423">
        <v>11</v>
      </c>
      <c r="D423" s="3">
        <v>43659</v>
      </c>
      <c r="E423" s="3">
        <v>43661</v>
      </c>
      <c r="F423">
        <f t="shared" si="6"/>
        <v>661</v>
      </c>
    </row>
    <row r="424" spans="1:6" x14ac:dyDescent="0.25">
      <c r="A424">
        <v>23</v>
      </c>
      <c r="B424">
        <f>CalculateVacation(VLOOKUP(A424,'Employee Data'!A7:P106,16,FALSE),VLOOKUP(A424,'Employee Data'!A7:V106,22,FALSE))</f>
        <v>666</v>
      </c>
      <c r="C424">
        <v>7</v>
      </c>
      <c r="D424" s="3">
        <v>43625</v>
      </c>
      <c r="E424" s="3">
        <v>43631</v>
      </c>
      <c r="F424">
        <f t="shared" si="6"/>
        <v>659</v>
      </c>
    </row>
    <row r="425" spans="1:6" x14ac:dyDescent="0.25">
      <c r="A425">
        <v>95</v>
      </c>
      <c r="B425">
        <f>CalculateVacation(VLOOKUP(A425,'Employee Data'!A7:P106,16,FALSE),VLOOKUP(A425,'Employee Data'!A7:V106,22,FALSE))</f>
        <v>618</v>
      </c>
      <c r="C425">
        <v>18</v>
      </c>
      <c r="D425" s="3">
        <v>44011</v>
      </c>
      <c r="E425" s="3">
        <v>44018</v>
      </c>
      <c r="F425">
        <f t="shared" si="6"/>
        <v>600</v>
      </c>
    </row>
    <row r="426" spans="1:6" x14ac:dyDescent="0.25">
      <c r="A426">
        <v>60</v>
      </c>
      <c r="B426">
        <f>CalculateVacation(VLOOKUP(A426,'Employee Data'!A7:P106,16,FALSE),VLOOKUP(A426,'Employee Data'!A7:V106,22,FALSE))</f>
        <v>0</v>
      </c>
      <c r="C426">
        <v>28</v>
      </c>
      <c r="D426" s="3">
        <v>43858</v>
      </c>
      <c r="E426" s="3">
        <v>43861</v>
      </c>
      <c r="F426">
        <f t="shared" si="6"/>
        <v>-28</v>
      </c>
    </row>
    <row r="427" spans="1:6" x14ac:dyDescent="0.25">
      <c r="A427">
        <v>91</v>
      </c>
      <c r="B427">
        <f>CalculateVacation(VLOOKUP(A427,'Employee Data'!A7:P106,16,FALSE),VLOOKUP(A427,'Employee Data'!A7:V106,22,FALSE))</f>
        <v>40.5</v>
      </c>
      <c r="C427">
        <v>20</v>
      </c>
      <c r="D427" s="3">
        <v>43940</v>
      </c>
      <c r="E427" s="3">
        <v>43943</v>
      </c>
      <c r="F427">
        <f t="shared" si="6"/>
        <v>20.5</v>
      </c>
    </row>
    <row r="428" spans="1:6" x14ac:dyDescent="0.25">
      <c r="A428">
        <v>16</v>
      </c>
      <c r="B428">
        <f>CalculateVacation(VLOOKUP(A428,'Employee Data'!A7:P106,16,FALSE),VLOOKUP(A428,'Employee Data'!A7:V106,22,FALSE))</f>
        <v>240</v>
      </c>
      <c r="C428">
        <v>17</v>
      </c>
      <c r="D428" s="3">
        <v>43883</v>
      </c>
      <c r="E428" s="3">
        <v>43965</v>
      </c>
      <c r="F428">
        <f t="shared" si="6"/>
        <v>223</v>
      </c>
    </row>
    <row r="429" spans="1:6" x14ac:dyDescent="0.25">
      <c r="A429">
        <v>29</v>
      </c>
      <c r="B429">
        <f>CalculateVacation(VLOOKUP(A429,'Employee Data'!A7:P106,16,FALSE),VLOOKUP(A429,'Employee Data'!A7:V106,22,FALSE))</f>
        <v>412.5</v>
      </c>
      <c r="C429">
        <v>17</v>
      </c>
      <c r="D429" s="3">
        <v>43858</v>
      </c>
      <c r="E429" s="3">
        <v>43935</v>
      </c>
      <c r="F429">
        <f t="shared" si="6"/>
        <v>395.5</v>
      </c>
    </row>
    <row r="430" spans="1:6" x14ac:dyDescent="0.25">
      <c r="A430">
        <v>88</v>
      </c>
      <c r="B430">
        <f>CalculateVacation(VLOOKUP(A430,'Employee Data'!A7:P106,16,FALSE),VLOOKUP(A430,'Employee Data'!A7:V106,22,FALSE))</f>
        <v>390</v>
      </c>
      <c r="C430">
        <v>10</v>
      </c>
      <c r="D430" s="3">
        <v>44083</v>
      </c>
      <c r="E430" s="3">
        <v>44091</v>
      </c>
      <c r="F430">
        <f t="shared" si="6"/>
        <v>380</v>
      </c>
    </row>
    <row r="431" spans="1:6" x14ac:dyDescent="0.25">
      <c r="A431">
        <v>59</v>
      </c>
      <c r="B431">
        <f>CalculateVacation(VLOOKUP(A431,'Employee Data'!A7:P106,16,FALSE),VLOOKUP(A431,'Employee Data'!A7:V106,22,FALSE))</f>
        <v>54</v>
      </c>
      <c r="C431">
        <v>10</v>
      </c>
      <c r="D431" s="3">
        <v>43661</v>
      </c>
      <c r="E431" s="3">
        <v>43996</v>
      </c>
      <c r="F431">
        <f t="shared" si="6"/>
        <v>44</v>
      </c>
    </row>
    <row r="432" spans="1:6" x14ac:dyDescent="0.25">
      <c r="A432">
        <v>95</v>
      </c>
      <c r="B432">
        <f>CalculateVacation(VLOOKUP(A432,'Employee Data'!A7:P106,16,FALSE),VLOOKUP(A432,'Employee Data'!A7:V106,22,FALSE))</f>
        <v>618</v>
      </c>
      <c r="C432">
        <v>29</v>
      </c>
      <c r="D432" s="3">
        <v>44003</v>
      </c>
      <c r="E432" s="3">
        <v>44010</v>
      </c>
      <c r="F432">
        <f t="shared" si="6"/>
        <v>589</v>
      </c>
    </row>
    <row r="433" spans="1:6" x14ac:dyDescent="0.25">
      <c r="A433">
        <v>79</v>
      </c>
      <c r="B433">
        <f>CalculateVacation(VLOOKUP(A433,'Employee Data'!A7:P106,16,FALSE),VLOOKUP(A433,'Employee Data'!A7:V106,22,FALSE))</f>
        <v>543</v>
      </c>
      <c r="C433">
        <v>23</v>
      </c>
      <c r="D433" s="3">
        <v>44075</v>
      </c>
      <c r="E433" s="3">
        <v>44083</v>
      </c>
      <c r="F433">
        <f t="shared" si="6"/>
        <v>520</v>
      </c>
    </row>
    <row r="434" spans="1:6" x14ac:dyDescent="0.25">
      <c r="A434">
        <v>40</v>
      </c>
      <c r="B434">
        <f>CalculateVacation(VLOOKUP(A434,'Employee Data'!A7:P106,16,FALSE),VLOOKUP(A434,'Employee Data'!A7:V106,22,FALSE))</f>
        <v>672</v>
      </c>
      <c r="C434">
        <v>13</v>
      </c>
      <c r="D434" s="3">
        <v>43758</v>
      </c>
      <c r="E434" s="3">
        <v>43920</v>
      </c>
      <c r="F434">
        <f t="shared" si="6"/>
        <v>659</v>
      </c>
    </row>
    <row r="435" spans="1:6" x14ac:dyDescent="0.25">
      <c r="A435">
        <v>75</v>
      </c>
      <c r="B435">
        <f>CalculateVacation(VLOOKUP(A435,'Employee Data'!A7:P106,16,FALSE),VLOOKUP(A435,'Employee Data'!A7:V106,22,FALSE))</f>
        <v>407.5</v>
      </c>
      <c r="C435">
        <v>10</v>
      </c>
      <c r="D435" s="3">
        <v>43938</v>
      </c>
      <c r="E435" s="3">
        <v>43940</v>
      </c>
      <c r="F435">
        <f t="shared" si="6"/>
        <v>397.5</v>
      </c>
    </row>
    <row r="436" spans="1:6" x14ac:dyDescent="0.25">
      <c r="A436">
        <v>15</v>
      </c>
      <c r="B436">
        <f>CalculateVacation(VLOOKUP(A436,'Employee Data'!A7:P106,16,FALSE),VLOOKUP(A436,'Employee Data'!A7:V106,22,FALSE))</f>
        <v>651</v>
      </c>
      <c r="C436">
        <v>27</v>
      </c>
      <c r="D436" s="3">
        <v>43948</v>
      </c>
      <c r="E436" s="3">
        <v>43953</v>
      </c>
      <c r="F436">
        <f t="shared" si="6"/>
        <v>624</v>
      </c>
    </row>
    <row r="437" spans="1:6" x14ac:dyDescent="0.25">
      <c r="A437">
        <v>88</v>
      </c>
      <c r="B437">
        <f>CalculateVacation(VLOOKUP(A437,'Employee Data'!A7:P106,16,FALSE),VLOOKUP(A437,'Employee Data'!A7:V106,22,FALSE))</f>
        <v>390</v>
      </c>
      <c r="C437">
        <v>22</v>
      </c>
      <c r="D437" s="3">
        <v>43613</v>
      </c>
      <c r="E437" s="3">
        <v>43613</v>
      </c>
      <c r="F437">
        <f t="shared" si="6"/>
        <v>368</v>
      </c>
    </row>
    <row r="438" spans="1:6" x14ac:dyDescent="0.25">
      <c r="A438">
        <v>14</v>
      </c>
      <c r="B438">
        <f>CalculateVacation(VLOOKUP(A438,'Employee Data'!A7:P106,16,FALSE),VLOOKUP(A438,'Employee Data'!A7:V106,22,FALSE))</f>
        <v>0</v>
      </c>
      <c r="C438">
        <v>20</v>
      </c>
      <c r="D438" s="3">
        <v>43882</v>
      </c>
      <c r="E438" s="3">
        <v>43885</v>
      </c>
      <c r="F438">
        <f t="shared" si="6"/>
        <v>-20</v>
      </c>
    </row>
    <row r="439" spans="1:6" x14ac:dyDescent="0.25">
      <c r="A439">
        <v>71</v>
      </c>
      <c r="B439">
        <f>CalculateVacation(VLOOKUP(A439,'Employee Data'!A7:P106,16,FALSE),VLOOKUP(A439,'Employee Data'!A7:V106,22,FALSE))</f>
        <v>117</v>
      </c>
      <c r="C439">
        <v>1</v>
      </c>
      <c r="D439" s="3">
        <v>43761</v>
      </c>
      <c r="E439" s="3">
        <v>43764</v>
      </c>
      <c r="F439">
        <f t="shared" si="6"/>
        <v>116</v>
      </c>
    </row>
    <row r="440" spans="1:6" x14ac:dyDescent="0.25">
      <c r="A440">
        <v>54</v>
      </c>
      <c r="B440">
        <f>CalculateVacation(VLOOKUP(A440,'Employee Data'!A7:P106,16,FALSE),VLOOKUP(A440,'Employee Data'!A7:V106,22,FALSE))</f>
        <v>145.5</v>
      </c>
      <c r="C440">
        <v>2</v>
      </c>
      <c r="D440" s="3">
        <v>44000</v>
      </c>
      <c r="E440" s="3">
        <v>44104</v>
      </c>
      <c r="F440">
        <f t="shared" si="6"/>
        <v>143.5</v>
      </c>
    </row>
    <row r="441" spans="1:6" x14ac:dyDescent="0.25">
      <c r="A441">
        <v>34</v>
      </c>
      <c r="B441">
        <f>CalculateVacation(VLOOKUP(A441,'Employee Data'!A7:P106,16,FALSE),VLOOKUP(A441,'Employee Data'!A7:V106,22,FALSE))</f>
        <v>591</v>
      </c>
      <c r="C441">
        <v>22</v>
      </c>
      <c r="D441" s="3">
        <v>43713</v>
      </c>
      <c r="E441" s="3">
        <v>43951</v>
      </c>
      <c r="F441">
        <f t="shared" si="6"/>
        <v>569</v>
      </c>
    </row>
    <row r="442" spans="1:6" x14ac:dyDescent="0.25">
      <c r="A442">
        <v>45</v>
      </c>
      <c r="B442">
        <f>CalculateVacation(VLOOKUP(A442,'Employee Data'!A7:P106,16,FALSE),VLOOKUP(A442,'Employee Data'!A7:V106,22,FALSE))</f>
        <v>45</v>
      </c>
      <c r="C442">
        <v>5</v>
      </c>
      <c r="D442" s="3">
        <v>43794</v>
      </c>
      <c r="E442" s="3">
        <v>43802</v>
      </c>
      <c r="F442">
        <f t="shared" si="6"/>
        <v>40</v>
      </c>
    </row>
    <row r="443" spans="1:6" x14ac:dyDescent="0.25">
      <c r="A443">
        <v>42</v>
      </c>
      <c r="B443">
        <f>CalculateVacation(VLOOKUP(A443,'Employee Data'!A7:P106,16,FALSE),VLOOKUP(A443,'Employee Data'!A7:V106,22,FALSE))</f>
        <v>669</v>
      </c>
      <c r="C443">
        <v>24</v>
      </c>
      <c r="D443" s="3">
        <v>43820</v>
      </c>
      <c r="E443" s="3">
        <v>44093</v>
      </c>
      <c r="F443">
        <f t="shared" si="6"/>
        <v>645</v>
      </c>
    </row>
    <row r="444" spans="1:6" x14ac:dyDescent="0.25">
      <c r="A444">
        <v>27</v>
      </c>
      <c r="B444">
        <f>CalculateVacation(VLOOKUP(A444,'Employee Data'!A7:P106,16,FALSE),VLOOKUP(A444,'Employee Data'!A7:V106,22,FALSE))</f>
        <v>0</v>
      </c>
      <c r="C444">
        <v>6</v>
      </c>
      <c r="D444" s="3">
        <v>44100</v>
      </c>
      <c r="E444" s="3">
        <v>44101</v>
      </c>
      <c r="F444">
        <f t="shared" si="6"/>
        <v>-6</v>
      </c>
    </row>
    <row r="445" spans="1:6" x14ac:dyDescent="0.25">
      <c r="A445">
        <v>55</v>
      </c>
      <c r="B445">
        <f>CalculateVacation(VLOOKUP(A445,'Employee Data'!A7:P106,16,FALSE),VLOOKUP(A445,'Employee Data'!A7:V106,22,FALSE))</f>
        <v>0</v>
      </c>
      <c r="C445">
        <v>21</v>
      </c>
      <c r="D445" s="3">
        <v>43543</v>
      </c>
      <c r="E445" s="3">
        <v>43874</v>
      </c>
      <c r="F445">
        <f t="shared" si="6"/>
        <v>-21</v>
      </c>
    </row>
    <row r="446" spans="1:6" x14ac:dyDescent="0.25">
      <c r="A446">
        <v>73</v>
      </c>
      <c r="B446">
        <f>CalculateVacation(VLOOKUP(A446,'Employee Data'!A7:P106,16,FALSE),VLOOKUP(A446,'Employee Data'!A7:V106,22,FALSE))</f>
        <v>105</v>
      </c>
      <c r="C446">
        <v>29</v>
      </c>
      <c r="D446" s="3">
        <v>43680</v>
      </c>
      <c r="E446" s="3">
        <v>43687</v>
      </c>
      <c r="F446">
        <f t="shared" si="6"/>
        <v>76</v>
      </c>
    </row>
    <row r="447" spans="1:6" x14ac:dyDescent="0.25">
      <c r="A447">
        <v>96</v>
      </c>
      <c r="B447">
        <f>CalculateVacation(VLOOKUP(A447,'Employee Data'!A7:P106,16,FALSE),VLOOKUP(A447,'Employee Data'!A7:V106,22,FALSE))</f>
        <v>0</v>
      </c>
      <c r="C447">
        <v>15</v>
      </c>
      <c r="D447" s="3">
        <v>43986</v>
      </c>
      <c r="E447" s="3">
        <v>43991</v>
      </c>
      <c r="F447">
        <f t="shared" si="6"/>
        <v>-15</v>
      </c>
    </row>
    <row r="448" spans="1:6" x14ac:dyDescent="0.25">
      <c r="A448">
        <v>80</v>
      </c>
      <c r="B448">
        <f>CalculateVacation(VLOOKUP(A448,'Employee Data'!A7:P106,16,FALSE),VLOOKUP(A448,'Employee Data'!A7:V106,22,FALSE))</f>
        <v>254</v>
      </c>
      <c r="C448">
        <v>30</v>
      </c>
      <c r="D448" s="3">
        <v>44104</v>
      </c>
      <c r="E448" s="3">
        <v>44110</v>
      </c>
      <c r="F448">
        <f t="shared" si="6"/>
        <v>224</v>
      </c>
    </row>
    <row r="449" spans="1:6" x14ac:dyDescent="0.25">
      <c r="A449">
        <v>60</v>
      </c>
      <c r="B449">
        <f>CalculateVacation(VLOOKUP(A449,'Employee Data'!A7:P106,16,FALSE),VLOOKUP(A449,'Employee Data'!A7:V106,22,FALSE))</f>
        <v>0</v>
      </c>
      <c r="C449">
        <v>19</v>
      </c>
      <c r="D449" s="3">
        <v>44028</v>
      </c>
      <c r="E449" s="3">
        <v>44029</v>
      </c>
      <c r="F449">
        <f t="shared" si="6"/>
        <v>-19</v>
      </c>
    </row>
    <row r="450" spans="1:6" x14ac:dyDescent="0.25">
      <c r="A450">
        <v>8</v>
      </c>
      <c r="B450">
        <f>CalculateVacation(VLOOKUP(A450,'Employee Data'!A7:P106,16,FALSE),VLOOKUP(A450,'Employee Data'!A7:V106,22,FALSE))</f>
        <v>588</v>
      </c>
      <c r="C450">
        <v>24</v>
      </c>
      <c r="D450" s="3">
        <v>43739</v>
      </c>
      <c r="E450" s="3">
        <v>43993</v>
      </c>
      <c r="F450">
        <f t="shared" si="6"/>
        <v>564</v>
      </c>
    </row>
    <row r="451" spans="1:6" x14ac:dyDescent="0.25">
      <c r="A451">
        <v>73</v>
      </c>
      <c r="B451">
        <f>CalculateVacation(VLOOKUP(A451,'Employee Data'!A7:P106,16,FALSE),VLOOKUP(A451,'Employee Data'!A7:V106,22,FALSE))</f>
        <v>105</v>
      </c>
      <c r="C451">
        <v>20</v>
      </c>
      <c r="D451" s="3">
        <v>43749</v>
      </c>
      <c r="E451" s="3">
        <v>43812</v>
      </c>
      <c r="F451">
        <f t="shared" si="6"/>
        <v>85</v>
      </c>
    </row>
    <row r="452" spans="1:6" x14ac:dyDescent="0.25">
      <c r="A452">
        <v>59</v>
      </c>
      <c r="B452">
        <f>CalculateVacation(VLOOKUP(A452,'Employee Data'!A7:P106,16,FALSE),VLOOKUP(A452,'Employee Data'!A7:V106,22,FALSE))</f>
        <v>54</v>
      </c>
      <c r="C452">
        <v>2</v>
      </c>
      <c r="D452" s="3">
        <v>43874</v>
      </c>
      <c r="E452" s="3">
        <v>43880</v>
      </c>
      <c r="F452">
        <f t="shared" si="6"/>
        <v>52</v>
      </c>
    </row>
    <row r="453" spans="1:6" x14ac:dyDescent="0.25">
      <c r="A453">
        <v>40</v>
      </c>
      <c r="B453">
        <f>CalculateVacation(VLOOKUP(A453,'Employee Data'!A7:P106,16,FALSE),VLOOKUP(A453,'Employee Data'!A7:V106,22,FALSE))</f>
        <v>672</v>
      </c>
      <c r="C453">
        <v>2</v>
      </c>
      <c r="D453" s="3">
        <v>44030</v>
      </c>
      <c r="E453" s="3">
        <v>44035</v>
      </c>
      <c r="F453">
        <f t="shared" si="6"/>
        <v>670</v>
      </c>
    </row>
    <row r="454" spans="1:6" x14ac:dyDescent="0.25">
      <c r="A454">
        <v>48</v>
      </c>
      <c r="B454">
        <f>CalculateVacation(VLOOKUP(A454,'Employee Data'!A7:P106,16,FALSE),VLOOKUP(A454,'Employee Data'!A7:V106,22,FALSE))</f>
        <v>174</v>
      </c>
      <c r="C454">
        <v>19</v>
      </c>
      <c r="D454" s="3">
        <v>43565</v>
      </c>
      <c r="E454" s="3">
        <v>43775</v>
      </c>
      <c r="F454">
        <f t="shared" si="6"/>
        <v>155</v>
      </c>
    </row>
    <row r="455" spans="1:6" x14ac:dyDescent="0.25">
      <c r="A455">
        <v>21</v>
      </c>
      <c r="B455">
        <f>CalculateVacation(VLOOKUP(A455,'Employee Data'!A7:P106,16,FALSE),VLOOKUP(A455,'Employee Data'!A7:V106,22,FALSE))</f>
        <v>175.5</v>
      </c>
      <c r="C455">
        <v>22</v>
      </c>
      <c r="D455" s="3">
        <v>43583</v>
      </c>
      <c r="E455" s="3">
        <v>43850</v>
      </c>
      <c r="F455">
        <f t="shared" si="6"/>
        <v>153.5</v>
      </c>
    </row>
    <row r="456" spans="1:6" x14ac:dyDescent="0.25">
      <c r="A456">
        <v>94</v>
      </c>
      <c r="B456">
        <f>CalculateVacation(VLOOKUP(A456,'Employee Data'!A7:P106,16,FALSE),VLOOKUP(A456,'Employee Data'!A7:V106,22,FALSE))</f>
        <v>130.5</v>
      </c>
      <c r="C456">
        <v>2</v>
      </c>
      <c r="D456" s="3">
        <v>43734</v>
      </c>
      <c r="E456" s="3">
        <v>43851</v>
      </c>
      <c r="F456">
        <f t="shared" ref="F456:F519" si="7">B456-C456</f>
        <v>128.5</v>
      </c>
    </row>
    <row r="457" spans="1:6" x14ac:dyDescent="0.25">
      <c r="A457">
        <v>30</v>
      </c>
      <c r="B457">
        <f>CalculateVacation(VLOOKUP(A457,'Employee Data'!A7:P106,16,FALSE),VLOOKUP(A457,'Employee Data'!A7:V106,22,FALSE))</f>
        <v>138</v>
      </c>
      <c r="C457">
        <v>4</v>
      </c>
      <c r="D457" s="3">
        <v>43749</v>
      </c>
      <c r="E457" s="3">
        <v>43759</v>
      </c>
      <c r="F457">
        <f t="shared" si="7"/>
        <v>134</v>
      </c>
    </row>
    <row r="458" spans="1:6" x14ac:dyDescent="0.25">
      <c r="A458">
        <v>23</v>
      </c>
      <c r="B458">
        <f>CalculateVacation(VLOOKUP(A458,'Employee Data'!A7:P106,16,FALSE),VLOOKUP(A458,'Employee Data'!A7:V106,22,FALSE))</f>
        <v>666</v>
      </c>
      <c r="C458">
        <v>23</v>
      </c>
      <c r="D458" s="3">
        <v>43751</v>
      </c>
      <c r="E458" s="3">
        <v>43772</v>
      </c>
      <c r="F458">
        <f t="shared" si="7"/>
        <v>643</v>
      </c>
    </row>
    <row r="459" spans="1:6" x14ac:dyDescent="0.25">
      <c r="A459">
        <v>44</v>
      </c>
      <c r="B459">
        <f>CalculateVacation(VLOOKUP(A459,'Employee Data'!A7:P106,16,FALSE),VLOOKUP(A459,'Employee Data'!A7:V106,22,FALSE))</f>
        <v>432.5</v>
      </c>
      <c r="C459">
        <v>22</v>
      </c>
      <c r="D459" s="3">
        <v>43907</v>
      </c>
      <c r="E459" s="3">
        <v>43910</v>
      </c>
      <c r="F459">
        <f t="shared" si="7"/>
        <v>410.5</v>
      </c>
    </row>
    <row r="460" spans="1:6" x14ac:dyDescent="0.25">
      <c r="A460">
        <v>55</v>
      </c>
      <c r="B460">
        <f>CalculateVacation(VLOOKUP(A460,'Employee Data'!A7:P106,16,FALSE),VLOOKUP(A460,'Employee Data'!A7:V106,22,FALSE))</f>
        <v>0</v>
      </c>
      <c r="C460">
        <v>10</v>
      </c>
      <c r="D460" s="3">
        <v>43548</v>
      </c>
      <c r="E460" s="3">
        <v>43610</v>
      </c>
      <c r="F460">
        <f t="shared" si="7"/>
        <v>-10</v>
      </c>
    </row>
    <row r="461" spans="1:6" x14ac:dyDescent="0.25">
      <c r="A461">
        <v>24</v>
      </c>
      <c r="B461">
        <f>CalculateVacation(VLOOKUP(A461,'Employee Data'!A7:P106,16,FALSE),VLOOKUP(A461,'Employee Data'!A7:V106,22,FALSE))</f>
        <v>432.5</v>
      </c>
      <c r="C461">
        <v>29</v>
      </c>
      <c r="D461" s="3">
        <v>43585</v>
      </c>
      <c r="E461" s="3">
        <v>43905</v>
      </c>
      <c r="F461">
        <f t="shared" si="7"/>
        <v>403.5</v>
      </c>
    </row>
    <row r="462" spans="1:6" x14ac:dyDescent="0.25">
      <c r="A462">
        <v>54</v>
      </c>
      <c r="B462">
        <f>CalculateVacation(VLOOKUP(A462,'Employee Data'!A7:P106,16,FALSE),VLOOKUP(A462,'Employee Data'!A7:V106,22,FALSE))</f>
        <v>145.5</v>
      </c>
      <c r="C462">
        <v>29</v>
      </c>
      <c r="D462" s="3">
        <v>43773</v>
      </c>
      <c r="E462" s="3">
        <v>43912</v>
      </c>
      <c r="F462">
        <f t="shared" si="7"/>
        <v>116.5</v>
      </c>
    </row>
    <row r="463" spans="1:6" x14ac:dyDescent="0.25">
      <c r="A463">
        <v>95</v>
      </c>
      <c r="B463">
        <f>CalculateVacation(VLOOKUP(A463,'Employee Data'!A7:P106,16,FALSE),VLOOKUP(A463,'Employee Data'!A7:V106,22,FALSE))</f>
        <v>618</v>
      </c>
      <c r="C463">
        <v>28</v>
      </c>
      <c r="D463" s="3">
        <v>44071</v>
      </c>
      <c r="E463" s="3">
        <v>44076</v>
      </c>
      <c r="F463">
        <f t="shared" si="7"/>
        <v>590</v>
      </c>
    </row>
    <row r="464" spans="1:6" x14ac:dyDescent="0.25">
      <c r="A464">
        <v>80</v>
      </c>
      <c r="B464">
        <f>CalculateVacation(VLOOKUP(A464,'Employee Data'!A7:P106,16,FALSE),VLOOKUP(A464,'Employee Data'!A7:V106,22,FALSE))</f>
        <v>254</v>
      </c>
      <c r="C464">
        <v>23</v>
      </c>
      <c r="D464" s="3">
        <v>43992</v>
      </c>
      <c r="E464" s="3">
        <v>43996</v>
      </c>
      <c r="F464">
        <f t="shared" si="7"/>
        <v>231</v>
      </c>
    </row>
    <row r="465" spans="1:6" x14ac:dyDescent="0.25">
      <c r="A465">
        <v>75</v>
      </c>
      <c r="B465">
        <f>CalculateVacation(VLOOKUP(A465,'Employee Data'!A7:P106,16,FALSE),VLOOKUP(A465,'Employee Data'!A7:V106,22,FALSE))</f>
        <v>407.5</v>
      </c>
      <c r="C465">
        <v>3</v>
      </c>
      <c r="D465" s="3">
        <v>43573</v>
      </c>
      <c r="E465" s="3">
        <v>43824</v>
      </c>
      <c r="F465">
        <f t="shared" si="7"/>
        <v>404.5</v>
      </c>
    </row>
    <row r="466" spans="1:6" x14ac:dyDescent="0.25">
      <c r="A466">
        <v>51</v>
      </c>
      <c r="B466">
        <f>CalculateVacation(VLOOKUP(A466,'Employee Data'!A7:P106,16,FALSE),VLOOKUP(A466,'Employee Data'!A7:V106,22,FALSE))</f>
        <v>0</v>
      </c>
      <c r="C466">
        <v>19</v>
      </c>
      <c r="D466" s="3">
        <v>44010</v>
      </c>
      <c r="E466" s="3">
        <v>44016</v>
      </c>
      <c r="F466">
        <f t="shared" si="7"/>
        <v>-19</v>
      </c>
    </row>
    <row r="467" spans="1:6" x14ac:dyDescent="0.25">
      <c r="A467">
        <v>71</v>
      </c>
      <c r="B467">
        <f>CalculateVacation(VLOOKUP(A467,'Employee Data'!A7:P106,16,FALSE),VLOOKUP(A467,'Employee Data'!A7:V106,22,FALSE))</f>
        <v>117</v>
      </c>
      <c r="C467">
        <v>1</v>
      </c>
      <c r="D467" s="3">
        <v>44036</v>
      </c>
      <c r="E467" s="3">
        <v>44041</v>
      </c>
      <c r="F467">
        <f t="shared" si="7"/>
        <v>116</v>
      </c>
    </row>
    <row r="468" spans="1:6" x14ac:dyDescent="0.25">
      <c r="A468">
        <v>17</v>
      </c>
      <c r="B468">
        <f>CalculateVacation(VLOOKUP(A468,'Employee Data'!A7:P106,16,FALSE),VLOOKUP(A468,'Employee Data'!A7:V106,22,FALSE))</f>
        <v>30</v>
      </c>
      <c r="C468">
        <v>2</v>
      </c>
      <c r="D468" s="3">
        <v>44099</v>
      </c>
      <c r="E468" s="3">
        <v>44106</v>
      </c>
      <c r="F468">
        <f t="shared" si="7"/>
        <v>28</v>
      </c>
    </row>
    <row r="469" spans="1:6" x14ac:dyDescent="0.25">
      <c r="A469">
        <v>22</v>
      </c>
      <c r="B469">
        <f>CalculateVacation(VLOOKUP(A469,'Employee Data'!A7:P106,16,FALSE),VLOOKUP(A469,'Employee Data'!A7:V106,22,FALSE))</f>
        <v>43</v>
      </c>
      <c r="C469">
        <v>11</v>
      </c>
      <c r="D469" s="3">
        <v>44094</v>
      </c>
      <c r="E469" s="3">
        <v>44096</v>
      </c>
      <c r="F469">
        <f t="shared" si="7"/>
        <v>32</v>
      </c>
    </row>
    <row r="470" spans="1:6" x14ac:dyDescent="0.25">
      <c r="A470">
        <v>50</v>
      </c>
      <c r="B470">
        <f>CalculateVacation(VLOOKUP(A470,'Employee Data'!A7:P106,16,FALSE),VLOOKUP(A470,'Employee Data'!A7:V106,22,FALSE))</f>
        <v>144</v>
      </c>
      <c r="C470">
        <v>13</v>
      </c>
      <c r="D470" s="3">
        <v>43823</v>
      </c>
      <c r="E470" s="3">
        <v>43823</v>
      </c>
      <c r="F470">
        <f t="shared" si="7"/>
        <v>131</v>
      </c>
    </row>
    <row r="471" spans="1:6" x14ac:dyDescent="0.25">
      <c r="A471">
        <v>25</v>
      </c>
      <c r="B471">
        <f>CalculateVacation(VLOOKUP(A471,'Employee Data'!A7:P106,16,FALSE),VLOOKUP(A471,'Employee Data'!A7:V106,22,FALSE))</f>
        <v>52</v>
      </c>
      <c r="C471">
        <v>19</v>
      </c>
      <c r="D471" s="3">
        <v>43670</v>
      </c>
      <c r="E471" s="3">
        <v>43679</v>
      </c>
      <c r="F471">
        <f t="shared" si="7"/>
        <v>33</v>
      </c>
    </row>
    <row r="472" spans="1:6" x14ac:dyDescent="0.25">
      <c r="A472">
        <v>54</v>
      </c>
      <c r="B472">
        <f>CalculateVacation(VLOOKUP(A472,'Employee Data'!A7:P106,16,FALSE),VLOOKUP(A472,'Employee Data'!A7:V106,22,FALSE))</f>
        <v>145.5</v>
      </c>
      <c r="C472">
        <v>8</v>
      </c>
      <c r="D472" s="3">
        <v>43601</v>
      </c>
      <c r="E472" s="3">
        <v>43786</v>
      </c>
      <c r="F472">
        <f t="shared" si="7"/>
        <v>137.5</v>
      </c>
    </row>
    <row r="473" spans="1:6" x14ac:dyDescent="0.25">
      <c r="A473">
        <v>55</v>
      </c>
      <c r="B473">
        <f>CalculateVacation(VLOOKUP(A473,'Employee Data'!A7:P106,16,FALSE),VLOOKUP(A473,'Employee Data'!A7:V106,22,FALSE))</f>
        <v>0</v>
      </c>
      <c r="C473">
        <v>2</v>
      </c>
      <c r="D473" s="3">
        <v>43935</v>
      </c>
      <c r="E473" s="3">
        <v>43938</v>
      </c>
      <c r="F473">
        <f t="shared" si="7"/>
        <v>-2</v>
      </c>
    </row>
    <row r="474" spans="1:6" x14ac:dyDescent="0.25">
      <c r="A474">
        <v>32</v>
      </c>
      <c r="B474">
        <f>CalculateVacation(VLOOKUP(A474,'Employee Data'!A7:P106,16,FALSE),VLOOKUP(A474,'Employee Data'!A7:V106,22,FALSE))</f>
        <v>238</v>
      </c>
      <c r="C474">
        <v>26</v>
      </c>
      <c r="D474" s="3">
        <v>43557</v>
      </c>
      <c r="E474" s="3">
        <v>43727</v>
      </c>
      <c r="F474">
        <f t="shared" si="7"/>
        <v>212</v>
      </c>
    </row>
    <row r="475" spans="1:6" x14ac:dyDescent="0.25">
      <c r="A475">
        <v>26</v>
      </c>
      <c r="B475">
        <f>CalculateVacation(VLOOKUP(A475,'Employee Data'!A7:P106,16,FALSE),VLOOKUP(A475,'Employee Data'!A7:V106,22,FALSE))</f>
        <v>12.75</v>
      </c>
      <c r="C475">
        <v>27</v>
      </c>
      <c r="D475" s="3">
        <v>43794</v>
      </c>
      <c r="E475" s="3">
        <v>43794</v>
      </c>
      <c r="F475">
        <f t="shared" si="7"/>
        <v>-14.25</v>
      </c>
    </row>
    <row r="476" spans="1:6" x14ac:dyDescent="0.25">
      <c r="A476">
        <v>92</v>
      </c>
      <c r="B476">
        <f>CalculateVacation(VLOOKUP(A476,'Employee Data'!A7:P106,16,FALSE),VLOOKUP(A476,'Employee Data'!A7:V106,22,FALSE))</f>
        <v>112.5</v>
      </c>
      <c r="C476">
        <v>16</v>
      </c>
      <c r="D476" s="3">
        <v>43660</v>
      </c>
      <c r="E476" s="3">
        <v>43709</v>
      </c>
      <c r="F476">
        <f t="shared" si="7"/>
        <v>96.5</v>
      </c>
    </row>
    <row r="477" spans="1:6" x14ac:dyDescent="0.25">
      <c r="A477">
        <v>24</v>
      </c>
      <c r="B477">
        <f>CalculateVacation(VLOOKUP(A477,'Employee Data'!A7:P106,16,FALSE),VLOOKUP(A477,'Employee Data'!A7:V106,22,FALSE))</f>
        <v>432.5</v>
      </c>
      <c r="C477">
        <v>7</v>
      </c>
      <c r="D477" s="3">
        <v>43689</v>
      </c>
      <c r="E477" s="3">
        <v>43973</v>
      </c>
      <c r="F477">
        <f t="shared" si="7"/>
        <v>425.5</v>
      </c>
    </row>
    <row r="478" spans="1:6" x14ac:dyDescent="0.25">
      <c r="A478">
        <v>25</v>
      </c>
      <c r="B478">
        <f>CalculateVacation(VLOOKUP(A478,'Employee Data'!A7:P106,16,FALSE),VLOOKUP(A478,'Employee Data'!A7:V106,22,FALSE))</f>
        <v>52</v>
      </c>
      <c r="C478">
        <v>26</v>
      </c>
      <c r="D478" s="3">
        <v>43669</v>
      </c>
      <c r="E478" s="3">
        <v>44039</v>
      </c>
      <c r="F478">
        <f t="shared" si="7"/>
        <v>26</v>
      </c>
    </row>
    <row r="479" spans="1:6" x14ac:dyDescent="0.25">
      <c r="A479">
        <v>72</v>
      </c>
      <c r="B479">
        <f>CalculateVacation(VLOOKUP(A479,'Employee Data'!A7:P106,16,FALSE),VLOOKUP(A479,'Employee Data'!A7:V106,22,FALSE))</f>
        <v>537</v>
      </c>
      <c r="C479">
        <v>24</v>
      </c>
      <c r="D479" s="3">
        <v>43563</v>
      </c>
      <c r="E479" s="3">
        <v>43602</v>
      </c>
      <c r="F479">
        <f t="shared" si="7"/>
        <v>513</v>
      </c>
    </row>
    <row r="480" spans="1:6" x14ac:dyDescent="0.25">
      <c r="A480">
        <v>35</v>
      </c>
      <c r="B480">
        <f>CalculateVacation(VLOOKUP(A480,'Employee Data'!A7:P106,16,FALSE),VLOOKUP(A480,'Employee Data'!A7:V106,22,FALSE))</f>
        <v>555</v>
      </c>
      <c r="C480">
        <v>16</v>
      </c>
      <c r="D480" s="3">
        <v>43755</v>
      </c>
      <c r="E480" s="3">
        <v>43806</v>
      </c>
      <c r="F480">
        <f t="shared" si="7"/>
        <v>539</v>
      </c>
    </row>
    <row r="481" spans="1:6" x14ac:dyDescent="0.25">
      <c r="A481">
        <v>71</v>
      </c>
      <c r="B481">
        <f>CalculateVacation(VLOOKUP(A481,'Employee Data'!A7:P106,16,FALSE),VLOOKUP(A481,'Employee Data'!A7:V106,22,FALSE))</f>
        <v>117</v>
      </c>
      <c r="C481">
        <v>8</v>
      </c>
      <c r="D481" s="3">
        <v>43763</v>
      </c>
      <c r="E481" s="3">
        <v>43936</v>
      </c>
      <c r="F481">
        <f t="shared" si="7"/>
        <v>109</v>
      </c>
    </row>
    <row r="482" spans="1:6" x14ac:dyDescent="0.25">
      <c r="A482">
        <v>15</v>
      </c>
      <c r="B482">
        <f>CalculateVacation(VLOOKUP(A482,'Employee Data'!A7:P106,16,FALSE),VLOOKUP(A482,'Employee Data'!A7:V106,22,FALSE))</f>
        <v>651</v>
      </c>
      <c r="C482">
        <v>17</v>
      </c>
      <c r="D482" s="3">
        <v>43595</v>
      </c>
      <c r="E482" s="3">
        <v>43595</v>
      </c>
      <c r="F482">
        <f t="shared" si="7"/>
        <v>634</v>
      </c>
    </row>
    <row r="483" spans="1:6" x14ac:dyDescent="0.25">
      <c r="A483">
        <v>46</v>
      </c>
      <c r="B483">
        <f>CalculateVacation(VLOOKUP(A483,'Employee Data'!A7:P106,16,FALSE),VLOOKUP(A483,'Employee Data'!A7:V106,22,FALSE))</f>
        <v>50</v>
      </c>
      <c r="C483">
        <v>18</v>
      </c>
      <c r="D483" s="3">
        <v>44064</v>
      </c>
      <c r="E483" s="3">
        <v>44066</v>
      </c>
      <c r="F483">
        <f t="shared" si="7"/>
        <v>32</v>
      </c>
    </row>
    <row r="484" spans="1:6" x14ac:dyDescent="0.25">
      <c r="A484">
        <v>38</v>
      </c>
      <c r="B484">
        <f>CalculateVacation(VLOOKUP(A484,'Employee Data'!A7:P106,16,FALSE),VLOOKUP(A484,'Employee Data'!A7:V106,22,FALSE))</f>
        <v>387.5</v>
      </c>
      <c r="C484">
        <v>10</v>
      </c>
      <c r="D484" s="3">
        <v>43467</v>
      </c>
      <c r="E484" s="3">
        <v>43851</v>
      </c>
      <c r="F484">
        <f t="shared" si="7"/>
        <v>377.5</v>
      </c>
    </row>
    <row r="485" spans="1:6" x14ac:dyDescent="0.25">
      <c r="A485">
        <v>91</v>
      </c>
      <c r="B485">
        <f>CalculateVacation(VLOOKUP(A485,'Employee Data'!A7:P106,16,FALSE),VLOOKUP(A485,'Employee Data'!A7:V106,22,FALSE))</f>
        <v>40.5</v>
      </c>
      <c r="C485">
        <v>22</v>
      </c>
      <c r="D485" s="3">
        <v>43752</v>
      </c>
      <c r="E485" s="3">
        <v>43892</v>
      </c>
      <c r="F485">
        <f t="shared" si="7"/>
        <v>18.5</v>
      </c>
    </row>
    <row r="486" spans="1:6" x14ac:dyDescent="0.25">
      <c r="A486">
        <v>24</v>
      </c>
      <c r="B486">
        <f>CalculateVacation(VLOOKUP(A486,'Employee Data'!A7:P106,16,FALSE),VLOOKUP(A486,'Employee Data'!A7:V106,22,FALSE))</f>
        <v>432.5</v>
      </c>
      <c r="C486">
        <v>23</v>
      </c>
      <c r="D486" s="3">
        <v>43991</v>
      </c>
      <c r="E486" s="3">
        <v>44001</v>
      </c>
      <c r="F486">
        <f t="shared" si="7"/>
        <v>409.5</v>
      </c>
    </row>
    <row r="487" spans="1:6" x14ac:dyDescent="0.25">
      <c r="A487">
        <v>79</v>
      </c>
      <c r="B487">
        <f>CalculateVacation(VLOOKUP(A487,'Employee Data'!A7:P106,16,FALSE),VLOOKUP(A487,'Employee Data'!A7:V106,22,FALSE))</f>
        <v>543</v>
      </c>
      <c r="C487">
        <v>25</v>
      </c>
      <c r="D487" s="3">
        <v>44062</v>
      </c>
      <c r="E487" s="3">
        <v>44066</v>
      </c>
      <c r="F487">
        <f t="shared" si="7"/>
        <v>518</v>
      </c>
    </row>
    <row r="488" spans="1:6" x14ac:dyDescent="0.25">
      <c r="A488">
        <v>2</v>
      </c>
      <c r="B488">
        <f>CalculateVacation(VLOOKUP(A488,'Employee Data'!A7:P106,16,FALSE),VLOOKUP(A488,'Employee Data'!A7:V106,22,FALSE))</f>
        <v>130.5</v>
      </c>
      <c r="C488">
        <v>21</v>
      </c>
      <c r="D488" s="3">
        <v>43900</v>
      </c>
      <c r="E488" s="3">
        <v>43937</v>
      </c>
      <c r="F488">
        <f t="shared" si="7"/>
        <v>109.5</v>
      </c>
    </row>
    <row r="489" spans="1:6" x14ac:dyDescent="0.25">
      <c r="A489">
        <v>5</v>
      </c>
      <c r="B489">
        <f>CalculateVacation(VLOOKUP(A489,'Employee Data'!A7:P106,16,FALSE),VLOOKUP(A489,'Employee Data'!A7:V106,22,FALSE))</f>
        <v>417.5</v>
      </c>
      <c r="C489">
        <v>29</v>
      </c>
      <c r="D489" s="3">
        <v>43963</v>
      </c>
      <c r="E489" s="3">
        <v>44061</v>
      </c>
      <c r="F489">
        <f t="shared" si="7"/>
        <v>388.5</v>
      </c>
    </row>
    <row r="490" spans="1:6" x14ac:dyDescent="0.25">
      <c r="A490">
        <v>85</v>
      </c>
      <c r="B490">
        <f>CalculateVacation(VLOOKUP(A490,'Employee Data'!A7:P106,16,FALSE),VLOOKUP(A490,'Employee Data'!A7:V106,22,FALSE))</f>
        <v>636</v>
      </c>
      <c r="C490">
        <v>10</v>
      </c>
      <c r="D490" s="3">
        <v>44004</v>
      </c>
      <c r="E490" s="3">
        <v>44006</v>
      </c>
      <c r="F490">
        <f t="shared" si="7"/>
        <v>626</v>
      </c>
    </row>
    <row r="491" spans="1:6" x14ac:dyDescent="0.25">
      <c r="A491">
        <v>71</v>
      </c>
      <c r="B491">
        <f>CalculateVacation(VLOOKUP(A491,'Employee Data'!A7:P106,16,FALSE),VLOOKUP(A491,'Employee Data'!A7:V106,22,FALSE))</f>
        <v>117</v>
      </c>
      <c r="C491">
        <v>11</v>
      </c>
      <c r="D491" s="3">
        <v>43622</v>
      </c>
      <c r="E491" s="3">
        <v>43702</v>
      </c>
      <c r="F491">
        <f t="shared" si="7"/>
        <v>106</v>
      </c>
    </row>
    <row r="492" spans="1:6" x14ac:dyDescent="0.25">
      <c r="A492">
        <v>8</v>
      </c>
      <c r="B492">
        <f>CalculateVacation(VLOOKUP(A492,'Employee Data'!A7:P106,16,FALSE),VLOOKUP(A492,'Employee Data'!A7:V106,22,FALSE))</f>
        <v>588</v>
      </c>
      <c r="C492">
        <v>22</v>
      </c>
      <c r="D492" s="3">
        <v>43885</v>
      </c>
      <c r="E492" s="3">
        <v>43980</v>
      </c>
      <c r="F492">
        <f t="shared" si="7"/>
        <v>566</v>
      </c>
    </row>
    <row r="493" spans="1:6" x14ac:dyDescent="0.25">
      <c r="A493">
        <v>30</v>
      </c>
      <c r="B493">
        <f>CalculateVacation(VLOOKUP(A493,'Employee Data'!A7:P106,16,FALSE),VLOOKUP(A493,'Employee Data'!A7:V106,22,FALSE))</f>
        <v>138</v>
      </c>
      <c r="C493">
        <v>21</v>
      </c>
      <c r="D493" s="3">
        <v>43511</v>
      </c>
      <c r="E493" s="3">
        <v>43777</v>
      </c>
      <c r="F493">
        <f t="shared" si="7"/>
        <v>117</v>
      </c>
    </row>
    <row r="494" spans="1:6" x14ac:dyDescent="0.25">
      <c r="A494">
        <v>27</v>
      </c>
      <c r="B494">
        <f>CalculateVacation(VLOOKUP(A494,'Employee Data'!A7:P106,16,FALSE),VLOOKUP(A494,'Employee Data'!A7:V106,22,FALSE))</f>
        <v>0</v>
      </c>
      <c r="C494">
        <v>7</v>
      </c>
      <c r="D494" s="3">
        <v>43979</v>
      </c>
      <c r="E494" s="3">
        <v>43980</v>
      </c>
      <c r="F494">
        <f t="shared" si="7"/>
        <v>-7</v>
      </c>
    </row>
    <row r="495" spans="1:6" x14ac:dyDescent="0.25">
      <c r="A495">
        <v>99</v>
      </c>
      <c r="B495">
        <f>CalculateVacation(VLOOKUP(A495,'Employee Data'!A7:P106,16,FALSE),VLOOKUP(A495,'Employee Data'!A7:V106,22,FALSE))</f>
        <v>564</v>
      </c>
      <c r="C495">
        <v>14</v>
      </c>
      <c r="D495" s="3">
        <v>44089</v>
      </c>
      <c r="E495" s="3">
        <v>44097</v>
      </c>
      <c r="F495">
        <f t="shared" si="7"/>
        <v>550</v>
      </c>
    </row>
    <row r="496" spans="1:6" x14ac:dyDescent="0.25">
      <c r="A496">
        <v>99</v>
      </c>
      <c r="B496">
        <f>CalculateVacation(VLOOKUP(A496,'Employee Data'!A7:P106,16,FALSE),VLOOKUP(A496,'Employee Data'!A7:V106,22,FALSE))</f>
        <v>564</v>
      </c>
      <c r="C496">
        <v>28</v>
      </c>
      <c r="D496" s="3">
        <v>43527</v>
      </c>
      <c r="E496" s="3">
        <v>43684</v>
      </c>
      <c r="F496">
        <f t="shared" si="7"/>
        <v>536</v>
      </c>
    </row>
    <row r="497" spans="1:6" x14ac:dyDescent="0.25">
      <c r="A497">
        <v>52</v>
      </c>
      <c r="B497">
        <f>CalculateVacation(VLOOKUP(A497,'Employee Data'!A7:P106,16,FALSE),VLOOKUP(A497,'Employee Data'!A7:V106,22,FALSE))</f>
        <v>8</v>
      </c>
      <c r="C497">
        <v>26</v>
      </c>
      <c r="D497" s="3">
        <v>43785</v>
      </c>
      <c r="E497" s="3">
        <v>43787</v>
      </c>
      <c r="F497">
        <f t="shared" si="7"/>
        <v>-18</v>
      </c>
    </row>
    <row r="498" spans="1:6" x14ac:dyDescent="0.25">
      <c r="A498">
        <v>57</v>
      </c>
      <c r="B498">
        <f>CalculateVacation(VLOOKUP(A498,'Employee Data'!A7:P106,16,FALSE),VLOOKUP(A498,'Employee Data'!A7:V106,22,FALSE))</f>
        <v>99</v>
      </c>
      <c r="C498">
        <v>11</v>
      </c>
      <c r="D498" s="3">
        <v>43649</v>
      </c>
      <c r="E498" s="3">
        <v>43836</v>
      </c>
      <c r="F498">
        <f t="shared" si="7"/>
        <v>88</v>
      </c>
    </row>
    <row r="499" spans="1:6" x14ac:dyDescent="0.25">
      <c r="A499">
        <v>30</v>
      </c>
      <c r="B499">
        <f>CalculateVacation(VLOOKUP(A499,'Employee Data'!A7:P106,16,FALSE),VLOOKUP(A499,'Employee Data'!A7:V106,22,FALSE))</f>
        <v>138</v>
      </c>
      <c r="C499">
        <v>24</v>
      </c>
      <c r="D499" s="3">
        <v>44047</v>
      </c>
      <c r="E499" s="3">
        <v>44083</v>
      </c>
      <c r="F499">
        <f t="shared" si="7"/>
        <v>114</v>
      </c>
    </row>
    <row r="500" spans="1:6" x14ac:dyDescent="0.25">
      <c r="A500">
        <v>49</v>
      </c>
      <c r="B500">
        <f>CalculateVacation(VLOOKUP(A500,'Employee Data'!A7:P106,16,FALSE),VLOOKUP(A500,'Employee Data'!A7:V106,22,FALSE))</f>
        <v>360</v>
      </c>
      <c r="C500">
        <v>29</v>
      </c>
      <c r="D500" s="3">
        <v>43554</v>
      </c>
      <c r="E500" s="3">
        <v>43559</v>
      </c>
      <c r="F500">
        <f t="shared" si="7"/>
        <v>331</v>
      </c>
    </row>
    <row r="501" spans="1:6" x14ac:dyDescent="0.25">
      <c r="A501">
        <v>75</v>
      </c>
      <c r="B501">
        <f>CalculateVacation(VLOOKUP(A501,'Employee Data'!A7:P106,16,FALSE),VLOOKUP(A501,'Employee Data'!A7:V106,22,FALSE))</f>
        <v>407.5</v>
      </c>
      <c r="C501">
        <v>20</v>
      </c>
      <c r="D501" s="3">
        <v>43553</v>
      </c>
      <c r="E501" s="3">
        <v>43657</v>
      </c>
      <c r="F501">
        <f t="shared" si="7"/>
        <v>387.5</v>
      </c>
    </row>
    <row r="502" spans="1:6" x14ac:dyDescent="0.25">
      <c r="A502">
        <v>22</v>
      </c>
      <c r="B502">
        <f>CalculateVacation(VLOOKUP(A502,'Employee Data'!A7:P106,16,FALSE),VLOOKUP(A502,'Employee Data'!A7:V106,22,FALSE))</f>
        <v>43</v>
      </c>
      <c r="C502">
        <v>19</v>
      </c>
      <c r="D502" s="3">
        <v>44027</v>
      </c>
      <c r="E502" s="3">
        <v>44034</v>
      </c>
      <c r="F502">
        <f t="shared" si="7"/>
        <v>24</v>
      </c>
    </row>
    <row r="503" spans="1:6" x14ac:dyDescent="0.25">
      <c r="A503">
        <v>31</v>
      </c>
      <c r="B503">
        <f>CalculateVacation(VLOOKUP(A503,'Employee Data'!A7:P106,16,FALSE),VLOOKUP(A503,'Employee Data'!A7:V106,22,FALSE))</f>
        <v>570</v>
      </c>
      <c r="C503">
        <v>3</v>
      </c>
      <c r="D503" s="3">
        <v>43814</v>
      </c>
      <c r="E503" s="3">
        <v>43822</v>
      </c>
      <c r="F503">
        <f t="shared" si="7"/>
        <v>567</v>
      </c>
    </row>
    <row r="504" spans="1:6" x14ac:dyDescent="0.25">
      <c r="A504">
        <v>64</v>
      </c>
      <c r="B504">
        <f>CalculateVacation(VLOOKUP(A504,'Employee Data'!A7:P106,16,FALSE),VLOOKUP(A504,'Employee Data'!A7:V106,22,FALSE))</f>
        <v>39</v>
      </c>
      <c r="C504">
        <v>2</v>
      </c>
      <c r="D504" s="3">
        <v>43895</v>
      </c>
      <c r="E504" s="3">
        <v>43896</v>
      </c>
      <c r="F504">
        <f t="shared" si="7"/>
        <v>37</v>
      </c>
    </row>
    <row r="505" spans="1:6" x14ac:dyDescent="0.25">
      <c r="A505">
        <v>75</v>
      </c>
      <c r="B505">
        <f>CalculateVacation(VLOOKUP(A505,'Employee Data'!A7:P106,16,FALSE),VLOOKUP(A505,'Employee Data'!A7:V106,22,FALSE))</f>
        <v>407.5</v>
      </c>
      <c r="C505">
        <v>15</v>
      </c>
      <c r="D505" s="3">
        <v>43475</v>
      </c>
      <c r="E505" s="3">
        <v>44015</v>
      </c>
      <c r="F505">
        <f t="shared" si="7"/>
        <v>392.5</v>
      </c>
    </row>
    <row r="506" spans="1:6" x14ac:dyDescent="0.25">
      <c r="A506">
        <v>35</v>
      </c>
      <c r="B506">
        <f>CalculateVacation(VLOOKUP(A506,'Employee Data'!A7:P106,16,FALSE),VLOOKUP(A506,'Employee Data'!A7:V106,22,FALSE))</f>
        <v>555</v>
      </c>
      <c r="C506">
        <v>19</v>
      </c>
      <c r="D506" s="3">
        <v>44049</v>
      </c>
      <c r="E506" s="3">
        <v>44055</v>
      </c>
      <c r="F506">
        <f t="shared" si="7"/>
        <v>536</v>
      </c>
    </row>
    <row r="507" spans="1:6" x14ac:dyDescent="0.25">
      <c r="A507">
        <v>47</v>
      </c>
      <c r="B507">
        <f>CalculateVacation(VLOOKUP(A507,'Employee Data'!A7:P106,16,FALSE),VLOOKUP(A507,'Employee Data'!A7:V106,22,FALSE))</f>
        <v>585</v>
      </c>
      <c r="C507">
        <v>22</v>
      </c>
      <c r="D507" s="3">
        <v>43923</v>
      </c>
      <c r="E507" s="3">
        <v>43927</v>
      </c>
      <c r="F507">
        <f t="shared" si="7"/>
        <v>563</v>
      </c>
    </row>
    <row r="508" spans="1:6" x14ac:dyDescent="0.25">
      <c r="A508">
        <v>12</v>
      </c>
      <c r="B508">
        <f>CalculateVacation(VLOOKUP(A508,'Employee Data'!A7:P106,16,FALSE),VLOOKUP(A508,'Employee Data'!A7:V106,22,FALSE))</f>
        <v>636</v>
      </c>
      <c r="C508">
        <v>8</v>
      </c>
      <c r="D508" s="3">
        <v>44089</v>
      </c>
      <c r="E508" s="3">
        <v>44097</v>
      </c>
      <c r="F508">
        <f t="shared" si="7"/>
        <v>628</v>
      </c>
    </row>
    <row r="509" spans="1:6" x14ac:dyDescent="0.25">
      <c r="A509">
        <v>3</v>
      </c>
      <c r="B509">
        <f>CalculateVacation(VLOOKUP(A509,'Employee Data'!A7:P106,16,FALSE),VLOOKUP(A509,'Employee Data'!A7:V106,22,FALSE))</f>
        <v>238</v>
      </c>
      <c r="C509">
        <v>8</v>
      </c>
      <c r="D509" s="3">
        <v>43560</v>
      </c>
      <c r="E509" s="3">
        <v>44069</v>
      </c>
      <c r="F509">
        <f t="shared" si="7"/>
        <v>230</v>
      </c>
    </row>
    <row r="510" spans="1:6" x14ac:dyDescent="0.25">
      <c r="A510">
        <v>8</v>
      </c>
      <c r="B510">
        <f>CalculateVacation(VLOOKUP(A510,'Employee Data'!A7:P106,16,FALSE),VLOOKUP(A510,'Employee Data'!A7:V106,22,FALSE))</f>
        <v>588</v>
      </c>
      <c r="C510">
        <v>28</v>
      </c>
      <c r="D510" s="3">
        <v>43937</v>
      </c>
      <c r="E510" s="3">
        <v>43942</v>
      </c>
      <c r="F510">
        <f t="shared" si="7"/>
        <v>560</v>
      </c>
    </row>
    <row r="511" spans="1:6" x14ac:dyDescent="0.25">
      <c r="A511">
        <v>94</v>
      </c>
      <c r="B511">
        <f>CalculateVacation(VLOOKUP(A511,'Employee Data'!A7:P106,16,FALSE),VLOOKUP(A511,'Employee Data'!A7:V106,22,FALSE))</f>
        <v>130.5</v>
      </c>
      <c r="C511">
        <v>21</v>
      </c>
      <c r="D511" s="3">
        <v>43613</v>
      </c>
      <c r="E511" s="3">
        <v>43963</v>
      </c>
      <c r="F511">
        <f t="shared" si="7"/>
        <v>109.5</v>
      </c>
    </row>
    <row r="512" spans="1:6" x14ac:dyDescent="0.25">
      <c r="A512">
        <v>16</v>
      </c>
      <c r="B512">
        <f>CalculateVacation(VLOOKUP(A512,'Employee Data'!A7:P106,16,FALSE),VLOOKUP(A512,'Employee Data'!A7:V106,22,FALSE))</f>
        <v>240</v>
      </c>
      <c r="C512">
        <v>29</v>
      </c>
      <c r="D512" s="3">
        <v>43922</v>
      </c>
      <c r="E512" s="3">
        <v>43925</v>
      </c>
      <c r="F512">
        <f t="shared" si="7"/>
        <v>211</v>
      </c>
    </row>
    <row r="513" spans="1:6" x14ac:dyDescent="0.25">
      <c r="A513">
        <v>38</v>
      </c>
      <c r="B513">
        <f>CalculateVacation(VLOOKUP(A513,'Employee Data'!A7:P106,16,FALSE),VLOOKUP(A513,'Employee Data'!A7:V106,22,FALSE))</f>
        <v>387.5</v>
      </c>
      <c r="C513">
        <v>19</v>
      </c>
      <c r="D513" s="3">
        <v>43778</v>
      </c>
      <c r="E513" s="3">
        <v>43783</v>
      </c>
      <c r="F513">
        <f t="shared" si="7"/>
        <v>368.5</v>
      </c>
    </row>
    <row r="514" spans="1:6" x14ac:dyDescent="0.25">
      <c r="A514">
        <v>32</v>
      </c>
      <c r="B514">
        <f>CalculateVacation(VLOOKUP(A514,'Employee Data'!A7:P106,16,FALSE),VLOOKUP(A514,'Employee Data'!A7:V106,22,FALSE))</f>
        <v>238</v>
      </c>
      <c r="C514">
        <v>24</v>
      </c>
      <c r="D514" s="3">
        <v>43498</v>
      </c>
      <c r="E514" s="3">
        <v>43823</v>
      </c>
      <c r="F514">
        <f t="shared" si="7"/>
        <v>214</v>
      </c>
    </row>
    <row r="515" spans="1:6" x14ac:dyDescent="0.25">
      <c r="A515">
        <v>42</v>
      </c>
      <c r="B515">
        <f>CalculateVacation(VLOOKUP(A515,'Employee Data'!A7:P106,16,FALSE),VLOOKUP(A515,'Employee Data'!A7:V106,22,FALSE))</f>
        <v>669</v>
      </c>
      <c r="C515">
        <v>15</v>
      </c>
      <c r="D515" s="3">
        <v>44036</v>
      </c>
      <c r="E515" s="3">
        <v>44074</v>
      </c>
      <c r="F515">
        <f t="shared" si="7"/>
        <v>654</v>
      </c>
    </row>
    <row r="516" spans="1:6" x14ac:dyDescent="0.25">
      <c r="A516">
        <v>87</v>
      </c>
      <c r="B516">
        <f>CalculateVacation(VLOOKUP(A516,'Employee Data'!A7:P106,16,FALSE),VLOOKUP(A516,'Employee Data'!A7:V106,22,FALSE))</f>
        <v>537</v>
      </c>
      <c r="C516">
        <v>5</v>
      </c>
      <c r="D516" s="3">
        <v>44051</v>
      </c>
      <c r="E516" s="3">
        <v>44054</v>
      </c>
      <c r="F516">
        <f t="shared" si="7"/>
        <v>532</v>
      </c>
    </row>
    <row r="517" spans="1:6" x14ac:dyDescent="0.25">
      <c r="A517">
        <v>26</v>
      </c>
      <c r="B517">
        <f>CalculateVacation(VLOOKUP(A517,'Employee Data'!A7:P106,16,FALSE),VLOOKUP(A517,'Employee Data'!A7:V106,22,FALSE))</f>
        <v>12.75</v>
      </c>
      <c r="C517">
        <v>19</v>
      </c>
      <c r="D517" s="3">
        <v>43965</v>
      </c>
      <c r="E517" s="3">
        <v>43968</v>
      </c>
      <c r="F517">
        <f t="shared" si="7"/>
        <v>-6.25</v>
      </c>
    </row>
    <row r="518" spans="1:6" x14ac:dyDescent="0.25">
      <c r="A518">
        <v>13</v>
      </c>
      <c r="B518">
        <f>CalculateVacation(VLOOKUP(A518,'Employee Data'!A7:P106,16,FALSE),VLOOKUP(A518,'Employee Data'!A7:V106,22,FALSE))</f>
        <v>633</v>
      </c>
      <c r="C518">
        <v>26</v>
      </c>
      <c r="D518" s="3">
        <v>43725</v>
      </c>
      <c r="E518" s="3">
        <v>43732</v>
      </c>
      <c r="F518">
        <f t="shared" si="7"/>
        <v>607</v>
      </c>
    </row>
    <row r="519" spans="1:6" x14ac:dyDescent="0.25">
      <c r="A519">
        <v>10</v>
      </c>
      <c r="B519">
        <f>CalculateVacation(VLOOKUP(A519,'Employee Data'!A7:P106,16,FALSE),VLOOKUP(A519,'Employee Data'!A7:V106,22,FALSE))</f>
        <v>150</v>
      </c>
      <c r="C519">
        <v>29</v>
      </c>
      <c r="D519" s="3">
        <v>43696</v>
      </c>
      <c r="E519" s="3">
        <v>43833</v>
      </c>
      <c r="F519">
        <f t="shared" si="7"/>
        <v>121</v>
      </c>
    </row>
    <row r="520" spans="1:6" x14ac:dyDescent="0.25">
      <c r="A520">
        <v>37</v>
      </c>
      <c r="B520">
        <f>CalculateVacation(VLOOKUP(A520,'Employee Data'!A7:P106,16,FALSE),VLOOKUP(A520,'Employee Data'!A7:V106,22,FALSE))</f>
        <v>407.5</v>
      </c>
      <c r="C520">
        <v>6</v>
      </c>
      <c r="D520" s="3">
        <v>43663</v>
      </c>
      <c r="E520" s="3">
        <v>43690</v>
      </c>
      <c r="F520">
        <f t="shared" ref="F520:F583" si="8">B520-C520</f>
        <v>401.5</v>
      </c>
    </row>
    <row r="521" spans="1:6" x14ac:dyDescent="0.25">
      <c r="A521">
        <v>15</v>
      </c>
      <c r="B521">
        <f>CalculateVacation(VLOOKUP(A521,'Employee Data'!A7:P106,16,FALSE),VLOOKUP(A521,'Employee Data'!A7:V106,22,FALSE))</f>
        <v>651</v>
      </c>
      <c r="C521">
        <v>18</v>
      </c>
      <c r="D521" s="3">
        <v>43697</v>
      </c>
      <c r="E521" s="3">
        <v>44044</v>
      </c>
      <c r="F521">
        <f t="shared" si="8"/>
        <v>633</v>
      </c>
    </row>
    <row r="522" spans="1:6" x14ac:dyDescent="0.25">
      <c r="A522">
        <v>98</v>
      </c>
      <c r="B522">
        <f>CalculateVacation(VLOOKUP(A522,'Employee Data'!A7:P106,16,FALSE),VLOOKUP(A522,'Employee Data'!A7:V106,22,FALSE))</f>
        <v>648</v>
      </c>
      <c r="C522">
        <v>22</v>
      </c>
      <c r="D522" s="3">
        <v>43829</v>
      </c>
      <c r="E522" s="3">
        <v>44088</v>
      </c>
      <c r="F522">
        <f t="shared" si="8"/>
        <v>626</v>
      </c>
    </row>
    <row r="523" spans="1:6" x14ac:dyDescent="0.25">
      <c r="A523">
        <v>2</v>
      </c>
      <c r="B523">
        <f>CalculateVacation(VLOOKUP(A523,'Employee Data'!A7:P106,16,FALSE),VLOOKUP(A523,'Employee Data'!A7:V106,22,FALSE))</f>
        <v>130.5</v>
      </c>
      <c r="C523">
        <v>17</v>
      </c>
      <c r="D523" s="3">
        <v>43738</v>
      </c>
      <c r="E523" s="3">
        <v>43740</v>
      </c>
      <c r="F523">
        <f t="shared" si="8"/>
        <v>113.5</v>
      </c>
    </row>
    <row r="524" spans="1:6" x14ac:dyDescent="0.25">
      <c r="A524">
        <v>26</v>
      </c>
      <c r="B524">
        <f>CalculateVacation(VLOOKUP(A524,'Employee Data'!A7:P106,16,FALSE),VLOOKUP(A524,'Employee Data'!A7:V106,22,FALSE))</f>
        <v>12.75</v>
      </c>
      <c r="C524">
        <v>9</v>
      </c>
      <c r="D524" s="3">
        <v>43529</v>
      </c>
      <c r="E524" s="3">
        <v>43792</v>
      </c>
      <c r="F524">
        <f t="shared" si="8"/>
        <v>3.75</v>
      </c>
    </row>
    <row r="525" spans="1:6" x14ac:dyDescent="0.25">
      <c r="A525">
        <v>98</v>
      </c>
      <c r="B525">
        <f>CalculateVacation(VLOOKUP(A525,'Employee Data'!A7:P106,16,FALSE),VLOOKUP(A525,'Employee Data'!A7:V106,22,FALSE))</f>
        <v>648</v>
      </c>
      <c r="C525">
        <v>25</v>
      </c>
      <c r="D525" s="3">
        <v>43976</v>
      </c>
      <c r="E525" s="3">
        <v>43980</v>
      </c>
      <c r="F525">
        <f t="shared" si="8"/>
        <v>623</v>
      </c>
    </row>
    <row r="526" spans="1:6" x14ac:dyDescent="0.25">
      <c r="A526">
        <v>98</v>
      </c>
      <c r="B526">
        <f>CalculateVacation(VLOOKUP(A526,'Employee Data'!A7:P106,16,FALSE),VLOOKUP(A526,'Employee Data'!A7:V106,22,FALSE))</f>
        <v>648</v>
      </c>
      <c r="C526">
        <v>4</v>
      </c>
      <c r="D526" s="3">
        <v>43927</v>
      </c>
      <c r="E526" s="3">
        <v>44067</v>
      </c>
      <c r="F526">
        <f t="shared" si="8"/>
        <v>644</v>
      </c>
    </row>
    <row r="527" spans="1:6" x14ac:dyDescent="0.25">
      <c r="A527">
        <v>11</v>
      </c>
      <c r="B527">
        <f>CalculateVacation(VLOOKUP(A527,'Employee Data'!A7:P106,16,FALSE),VLOOKUP(A527,'Employee Data'!A7:V106,22,FALSE))</f>
        <v>417.5</v>
      </c>
      <c r="C527">
        <v>2</v>
      </c>
      <c r="D527" s="3">
        <v>43863</v>
      </c>
      <c r="E527" s="3">
        <v>43873</v>
      </c>
      <c r="F527">
        <f t="shared" si="8"/>
        <v>415.5</v>
      </c>
    </row>
    <row r="528" spans="1:6" x14ac:dyDescent="0.25">
      <c r="A528">
        <v>27</v>
      </c>
      <c r="B528">
        <f>CalculateVacation(VLOOKUP(A528,'Employee Data'!A7:P106,16,FALSE),VLOOKUP(A528,'Employee Data'!A7:V106,22,FALSE))</f>
        <v>0</v>
      </c>
      <c r="C528">
        <v>20</v>
      </c>
      <c r="D528" s="3">
        <v>43715</v>
      </c>
      <c r="E528" s="3">
        <v>43725</v>
      </c>
      <c r="F528">
        <f t="shared" si="8"/>
        <v>-20</v>
      </c>
    </row>
    <row r="529" spans="1:6" x14ac:dyDescent="0.25">
      <c r="A529">
        <v>33</v>
      </c>
      <c r="B529">
        <f>CalculateVacation(VLOOKUP(A529,'Employee Data'!A7:P106,16,FALSE),VLOOKUP(A529,'Employee Data'!A7:V106,22,FALSE))</f>
        <v>437.5</v>
      </c>
      <c r="C529">
        <v>23</v>
      </c>
      <c r="D529" s="3">
        <v>43908</v>
      </c>
      <c r="E529" s="3">
        <v>43916</v>
      </c>
      <c r="F529">
        <f t="shared" si="8"/>
        <v>414.5</v>
      </c>
    </row>
    <row r="530" spans="1:6" x14ac:dyDescent="0.25">
      <c r="A530">
        <v>24</v>
      </c>
      <c r="B530">
        <f>CalculateVacation(VLOOKUP(A530,'Employee Data'!A7:P106,16,FALSE),VLOOKUP(A530,'Employee Data'!A7:V106,22,FALSE))</f>
        <v>432.5</v>
      </c>
      <c r="C530">
        <v>22</v>
      </c>
      <c r="D530" s="3">
        <v>44060</v>
      </c>
      <c r="E530" s="3">
        <v>44068</v>
      </c>
      <c r="F530">
        <f t="shared" si="8"/>
        <v>410.5</v>
      </c>
    </row>
    <row r="531" spans="1:6" x14ac:dyDescent="0.25">
      <c r="A531">
        <v>9</v>
      </c>
      <c r="B531">
        <f>CalculateVacation(VLOOKUP(A531,'Employee Data'!A7:P106,16,FALSE),VLOOKUP(A531,'Employee Data'!A7:V106,22,FALSE))</f>
        <v>36</v>
      </c>
      <c r="C531">
        <v>3</v>
      </c>
      <c r="D531" s="3">
        <v>43778</v>
      </c>
      <c r="E531" s="3">
        <v>43893</v>
      </c>
      <c r="F531">
        <f t="shared" si="8"/>
        <v>33</v>
      </c>
    </row>
    <row r="532" spans="1:6" x14ac:dyDescent="0.25">
      <c r="A532">
        <v>87</v>
      </c>
      <c r="B532">
        <f>CalculateVacation(VLOOKUP(A532,'Employee Data'!A7:P106,16,FALSE),VLOOKUP(A532,'Employee Data'!A7:V106,22,FALSE))</f>
        <v>537</v>
      </c>
      <c r="C532">
        <v>7</v>
      </c>
      <c r="D532" s="3">
        <v>43610</v>
      </c>
      <c r="E532" s="3">
        <v>44082</v>
      </c>
      <c r="F532">
        <f t="shared" si="8"/>
        <v>530</v>
      </c>
    </row>
    <row r="533" spans="1:6" x14ac:dyDescent="0.25">
      <c r="A533">
        <v>93</v>
      </c>
      <c r="B533">
        <f>CalculateVacation(VLOOKUP(A533,'Employee Data'!A7:P106,16,FALSE),VLOOKUP(A533,'Employee Data'!A7:V106,22,FALSE))</f>
        <v>151.5</v>
      </c>
      <c r="C533">
        <v>29</v>
      </c>
      <c r="D533" s="3">
        <v>43737</v>
      </c>
      <c r="E533" s="3">
        <v>43805</v>
      </c>
      <c r="F533">
        <f t="shared" si="8"/>
        <v>122.5</v>
      </c>
    </row>
    <row r="534" spans="1:6" x14ac:dyDescent="0.25">
      <c r="A534">
        <v>4</v>
      </c>
      <c r="B534">
        <f>CalculateVacation(VLOOKUP(A534,'Employee Data'!A7:P106,16,FALSE),VLOOKUP(A534,'Employee Data'!A7:V106,22,FALSE))</f>
        <v>242</v>
      </c>
      <c r="C534">
        <v>3</v>
      </c>
      <c r="D534" s="3">
        <v>44034</v>
      </c>
      <c r="E534" s="3">
        <v>44037</v>
      </c>
      <c r="F534">
        <f t="shared" si="8"/>
        <v>239</v>
      </c>
    </row>
    <row r="535" spans="1:6" x14ac:dyDescent="0.25">
      <c r="A535">
        <v>85</v>
      </c>
      <c r="B535">
        <f>CalculateVacation(VLOOKUP(A535,'Employee Data'!A7:P106,16,FALSE),VLOOKUP(A535,'Employee Data'!A7:V106,22,FALSE))</f>
        <v>636</v>
      </c>
      <c r="C535">
        <v>27</v>
      </c>
      <c r="D535" s="3">
        <v>44058</v>
      </c>
      <c r="E535" s="3">
        <v>44086</v>
      </c>
      <c r="F535">
        <f t="shared" si="8"/>
        <v>609</v>
      </c>
    </row>
    <row r="536" spans="1:6" x14ac:dyDescent="0.25">
      <c r="A536">
        <v>100</v>
      </c>
      <c r="B536">
        <f>CalculateVacation(VLOOKUP(A536,'Employee Data'!A7:P106,16,FALSE),VLOOKUP(A536,'Employee Data'!A7:V106,22,FALSE))</f>
        <v>540</v>
      </c>
      <c r="C536">
        <v>28</v>
      </c>
      <c r="D536" s="3">
        <v>43979</v>
      </c>
      <c r="E536" s="3">
        <v>43984</v>
      </c>
      <c r="F536">
        <f t="shared" si="8"/>
        <v>512</v>
      </c>
    </row>
    <row r="537" spans="1:6" x14ac:dyDescent="0.25">
      <c r="A537">
        <v>86</v>
      </c>
      <c r="B537">
        <f>CalculateVacation(VLOOKUP(A537,'Employee Data'!A7:P106,16,FALSE),VLOOKUP(A537,'Employee Data'!A7:V106,22,FALSE))</f>
        <v>618</v>
      </c>
      <c r="C537">
        <v>28</v>
      </c>
      <c r="D537" s="3">
        <v>43540</v>
      </c>
      <c r="E537" s="3">
        <v>43550</v>
      </c>
      <c r="F537">
        <f t="shared" si="8"/>
        <v>590</v>
      </c>
    </row>
    <row r="538" spans="1:6" x14ac:dyDescent="0.25">
      <c r="A538">
        <v>15</v>
      </c>
      <c r="B538">
        <f>CalculateVacation(VLOOKUP(A538,'Employee Data'!A7:P106,16,FALSE),VLOOKUP(A538,'Employee Data'!A7:V106,22,FALSE))</f>
        <v>651</v>
      </c>
      <c r="C538">
        <v>2</v>
      </c>
      <c r="D538" s="3">
        <v>43910</v>
      </c>
      <c r="E538" s="3">
        <v>43916</v>
      </c>
      <c r="F538">
        <f t="shared" si="8"/>
        <v>649</v>
      </c>
    </row>
    <row r="539" spans="1:6" x14ac:dyDescent="0.25">
      <c r="A539">
        <v>68</v>
      </c>
      <c r="B539">
        <f>CalculateVacation(VLOOKUP(A539,'Employee Data'!A7:P106,16,FALSE),VLOOKUP(A539,'Employee Data'!A7:V106,22,FALSE))</f>
        <v>540</v>
      </c>
      <c r="C539">
        <v>1</v>
      </c>
      <c r="D539" s="3">
        <v>43561</v>
      </c>
      <c r="E539" s="3">
        <v>43969</v>
      </c>
      <c r="F539">
        <f t="shared" si="8"/>
        <v>539</v>
      </c>
    </row>
    <row r="540" spans="1:6" x14ac:dyDescent="0.25">
      <c r="A540">
        <v>13</v>
      </c>
      <c r="B540">
        <f>CalculateVacation(VLOOKUP(A540,'Employee Data'!A7:P106,16,FALSE),VLOOKUP(A540,'Employee Data'!A7:V106,22,FALSE))</f>
        <v>633</v>
      </c>
      <c r="C540">
        <v>9</v>
      </c>
      <c r="D540" s="3">
        <v>43839</v>
      </c>
      <c r="E540" s="3">
        <v>43842</v>
      </c>
      <c r="F540">
        <f t="shared" si="8"/>
        <v>624</v>
      </c>
    </row>
    <row r="541" spans="1:6" x14ac:dyDescent="0.25">
      <c r="A541">
        <v>80</v>
      </c>
      <c r="B541">
        <f>CalculateVacation(VLOOKUP(A541,'Employee Data'!A7:P106,16,FALSE),VLOOKUP(A541,'Employee Data'!A7:V106,22,FALSE))</f>
        <v>254</v>
      </c>
      <c r="C541">
        <v>5</v>
      </c>
      <c r="D541" s="3">
        <v>43671</v>
      </c>
      <c r="E541" s="3">
        <v>43754</v>
      </c>
      <c r="F541">
        <f t="shared" si="8"/>
        <v>249</v>
      </c>
    </row>
    <row r="542" spans="1:6" x14ac:dyDescent="0.25">
      <c r="A542">
        <v>97</v>
      </c>
      <c r="B542">
        <f>CalculateVacation(VLOOKUP(A542,'Employee Data'!A7:P106,16,FALSE),VLOOKUP(A542,'Employee Data'!A7:V106,22,FALSE))</f>
        <v>355</v>
      </c>
      <c r="C542">
        <v>15</v>
      </c>
      <c r="D542" s="3">
        <v>44008</v>
      </c>
      <c r="E542" s="3">
        <v>44018</v>
      </c>
      <c r="F542">
        <f t="shared" si="8"/>
        <v>340</v>
      </c>
    </row>
    <row r="543" spans="1:6" x14ac:dyDescent="0.25">
      <c r="A543">
        <v>73</v>
      </c>
      <c r="B543">
        <f>CalculateVacation(VLOOKUP(A543,'Employee Data'!A7:P106,16,FALSE),VLOOKUP(A543,'Employee Data'!A7:V106,22,FALSE))</f>
        <v>105</v>
      </c>
      <c r="C543">
        <v>19</v>
      </c>
      <c r="D543" s="3">
        <v>43759</v>
      </c>
      <c r="E543" s="3">
        <v>43765</v>
      </c>
      <c r="F543">
        <f t="shared" si="8"/>
        <v>86</v>
      </c>
    </row>
    <row r="544" spans="1:6" x14ac:dyDescent="0.25">
      <c r="A544">
        <v>29</v>
      </c>
      <c r="B544">
        <f>CalculateVacation(VLOOKUP(A544,'Employee Data'!A7:P106,16,FALSE),VLOOKUP(A544,'Employee Data'!A7:V106,22,FALSE))</f>
        <v>412.5</v>
      </c>
      <c r="C544">
        <v>27</v>
      </c>
      <c r="D544" s="3">
        <v>43477</v>
      </c>
      <c r="E544" s="3">
        <v>43960</v>
      </c>
      <c r="F544">
        <f t="shared" si="8"/>
        <v>385.5</v>
      </c>
    </row>
    <row r="545" spans="1:6" x14ac:dyDescent="0.25">
      <c r="A545">
        <v>23</v>
      </c>
      <c r="B545">
        <f>CalculateVacation(VLOOKUP(A545,'Employee Data'!A7:P106,16,FALSE),VLOOKUP(A545,'Employee Data'!A7:V106,22,FALSE))</f>
        <v>666</v>
      </c>
      <c r="C545">
        <v>2</v>
      </c>
      <c r="D545" s="3">
        <v>43874</v>
      </c>
      <c r="E545" s="3">
        <v>44083</v>
      </c>
      <c r="F545">
        <f t="shared" si="8"/>
        <v>664</v>
      </c>
    </row>
    <row r="546" spans="1:6" x14ac:dyDescent="0.25">
      <c r="A546">
        <v>37</v>
      </c>
      <c r="B546">
        <f>CalculateVacation(VLOOKUP(A546,'Employee Data'!A7:P106,16,FALSE),VLOOKUP(A546,'Employee Data'!A7:V106,22,FALSE))</f>
        <v>407.5</v>
      </c>
      <c r="C546">
        <v>18</v>
      </c>
      <c r="D546" s="3">
        <v>44054</v>
      </c>
      <c r="E546" s="3">
        <v>44059</v>
      </c>
      <c r="F546">
        <f t="shared" si="8"/>
        <v>389.5</v>
      </c>
    </row>
    <row r="547" spans="1:6" x14ac:dyDescent="0.25">
      <c r="A547">
        <v>74</v>
      </c>
      <c r="B547">
        <f>CalculateVacation(VLOOKUP(A547,'Employee Data'!A7:P106,16,FALSE),VLOOKUP(A547,'Employee Data'!A7:V106,22,FALSE))</f>
        <v>417.5</v>
      </c>
      <c r="C547">
        <v>4</v>
      </c>
      <c r="D547" s="3">
        <v>43482</v>
      </c>
      <c r="E547" s="3">
        <v>43864</v>
      </c>
      <c r="F547">
        <f t="shared" si="8"/>
        <v>413.5</v>
      </c>
    </row>
    <row r="548" spans="1:6" x14ac:dyDescent="0.25">
      <c r="A548">
        <v>71</v>
      </c>
      <c r="B548">
        <f>CalculateVacation(VLOOKUP(A548,'Employee Data'!A7:P106,16,FALSE),VLOOKUP(A548,'Employee Data'!A7:V106,22,FALSE))</f>
        <v>117</v>
      </c>
      <c r="C548">
        <v>28</v>
      </c>
      <c r="D548" s="3">
        <v>44034</v>
      </c>
      <c r="E548" s="3">
        <v>44044</v>
      </c>
      <c r="F548">
        <f t="shared" si="8"/>
        <v>89</v>
      </c>
    </row>
    <row r="549" spans="1:6" x14ac:dyDescent="0.25">
      <c r="A549">
        <v>88</v>
      </c>
      <c r="B549">
        <f>CalculateVacation(VLOOKUP(A549,'Employee Data'!A7:P106,16,FALSE),VLOOKUP(A549,'Employee Data'!A7:V106,22,FALSE))</f>
        <v>390</v>
      </c>
      <c r="C549">
        <v>1</v>
      </c>
      <c r="D549" s="3">
        <v>43645</v>
      </c>
      <c r="E549" s="3">
        <v>43774</v>
      </c>
      <c r="F549">
        <f t="shared" si="8"/>
        <v>389</v>
      </c>
    </row>
    <row r="550" spans="1:6" x14ac:dyDescent="0.25">
      <c r="A550">
        <v>64</v>
      </c>
      <c r="B550">
        <f>CalculateVacation(VLOOKUP(A550,'Employee Data'!A7:P106,16,FALSE),VLOOKUP(A550,'Employee Data'!A7:V106,22,FALSE))</f>
        <v>39</v>
      </c>
      <c r="C550">
        <v>5</v>
      </c>
      <c r="D550" s="3">
        <v>44095</v>
      </c>
      <c r="E550" s="3">
        <v>44098</v>
      </c>
      <c r="F550">
        <f t="shared" si="8"/>
        <v>34</v>
      </c>
    </row>
    <row r="551" spans="1:6" x14ac:dyDescent="0.25">
      <c r="A551">
        <v>43</v>
      </c>
      <c r="B551">
        <f>CalculateVacation(VLOOKUP(A551,'Employee Data'!A7:P106,16,FALSE),VLOOKUP(A551,'Employee Data'!A7:V106,22,FALSE))</f>
        <v>52</v>
      </c>
      <c r="C551">
        <v>10</v>
      </c>
      <c r="D551" s="3">
        <v>43749</v>
      </c>
      <c r="E551" s="3">
        <v>43769</v>
      </c>
      <c r="F551">
        <f t="shared" si="8"/>
        <v>42</v>
      </c>
    </row>
    <row r="552" spans="1:6" x14ac:dyDescent="0.25">
      <c r="A552">
        <v>9</v>
      </c>
      <c r="B552">
        <f>CalculateVacation(VLOOKUP(A552,'Employee Data'!A7:P106,16,FALSE),VLOOKUP(A552,'Employee Data'!A7:V106,22,FALSE))</f>
        <v>36</v>
      </c>
      <c r="C552">
        <v>1</v>
      </c>
      <c r="D552" s="3">
        <v>43741</v>
      </c>
      <c r="E552" s="3">
        <v>43744</v>
      </c>
      <c r="F552">
        <f t="shared" si="8"/>
        <v>35</v>
      </c>
    </row>
    <row r="553" spans="1:6" x14ac:dyDescent="0.25">
      <c r="A553">
        <v>10</v>
      </c>
      <c r="B553">
        <f>CalculateVacation(VLOOKUP(A553,'Employee Data'!A7:P106,16,FALSE),VLOOKUP(A553,'Employee Data'!A7:V106,22,FALSE))</f>
        <v>150</v>
      </c>
      <c r="C553">
        <v>14</v>
      </c>
      <c r="D553" s="3">
        <v>43518</v>
      </c>
      <c r="E553" s="3">
        <v>43935</v>
      </c>
      <c r="F553">
        <f t="shared" si="8"/>
        <v>136</v>
      </c>
    </row>
    <row r="554" spans="1:6" x14ac:dyDescent="0.25">
      <c r="A554">
        <v>41</v>
      </c>
      <c r="B554">
        <f>CalculateVacation(VLOOKUP(A554,'Employee Data'!A7:P106,16,FALSE),VLOOKUP(A554,'Employee Data'!A7:V106,22,FALSE))</f>
        <v>365</v>
      </c>
      <c r="C554">
        <v>4</v>
      </c>
      <c r="D554" s="3">
        <v>43833</v>
      </c>
      <c r="E554" s="3">
        <v>43843</v>
      </c>
      <c r="F554">
        <f t="shared" si="8"/>
        <v>361</v>
      </c>
    </row>
    <row r="555" spans="1:6" x14ac:dyDescent="0.25">
      <c r="A555">
        <v>100</v>
      </c>
      <c r="B555">
        <f>CalculateVacation(VLOOKUP(A555,'Employee Data'!A7:P106,16,FALSE),VLOOKUP(A555,'Employee Data'!A7:V106,22,FALSE))</f>
        <v>540</v>
      </c>
      <c r="C555">
        <v>30</v>
      </c>
      <c r="D555" s="3">
        <v>43680</v>
      </c>
      <c r="E555" s="3">
        <v>43688</v>
      </c>
      <c r="F555">
        <f t="shared" si="8"/>
        <v>510</v>
      </c>
    </row>
    <row r="556" spans="1:6" x14ac:dyDescent="0.25">
      <c r="A556">
        <v>54</v>
      </c>
      <c r="B556">
        <f>CalculateVacation(VLOOKUP(A556,'Employee Data'!A7:P106,16,FALSE),VLOOKUP(A556,'Employee Data'!A7:V106,22,FALSE))</f>
        <v>145.5</v>
      </c>
      <c r="C556">
        <v>27</v>
      </c>
      <c r="D556" s="3">
        <v>43532</v>
      </c>
      <c r="E556" s="3">
        <v>43944</v>
      </c>
      <c r="F556">
        <f t="shared" si="8"/>
        <v>118.5</v>
      </c>
    </row>
    <row r="557" spans="1:6" x14ac:dyDescent="0.25">
      <c r="A557">
        <v>31</v>
      </c>
      <c r="B557">
        <f>CalculateVacation(VLOOKUP(A557,'Employee Data'!A7:P106,16,FALSE),VLOOKUP(A557,'Employee Data'!A7:V106,22,FALSE))</f>
        <v>570</v>
      </c>
      <c r="C557">
        <v>15</v>
      </c>
      <c r="D557" s="3">
        <v>44007</v>
      </c>
      <c r="E557" s="3">
        <v>44012</v>
      </c>
      <c r="F557">
        <f t="shared" si="8"/>
        <v>555</v>
      </c>
    </row>
    <row r="558" spans="1:6" x14ac:dyDescent="0.25">
      <c r="A558">
        <v>19</v>
      </c>
      <c r="B558">
        <f>CalculateVacation(VLOOKUP(A558,'Employee Data'!A7:P106,16,FALSE),VLOOKUP(A558,'Employee Data'!A7:V106,22,FALSE))</f>
        <v>13</v>
      </c>
      <c r="C558">
        <v>12</v>
      </c>
      <c r="D558" s="3">
        <v>43849</v>
      </c>
      <c r="E558" s="3">
        <v>44014</v>
      </c>
      <c r="F558">
        <f t="shared" si="8"/>
        <v>1</v>
      </c>
    </row>
    <row r="559" spans="1:6" x14ac:dyDescent="0.25">
      <c r="A559">
        <v>70</v>
      </c>
      <c r="B559">
        <f>CalculateVacation(VLOOKUP(A559,'Employee Data'!A7:P106,16,FALSE),VLOOKUP(A559,'Employee Data'!A7:V106,22,FALSE))</f>
        <v>543</v>
      </c>
      <c r="C559">
        <v>7</v>
      </c>
      <c r="D559" s="3">
        <v>43905</v>
      </c>
      <c r="E559" s="3">
        <v>43907</v>
      </c>
      <c r="F559">
        <f t="shared" si="8"/>
        <v>536</v>
      </c>
    </row>
    <row r="560" spans="1:6" x14ac:dyDescent="0.25">
      <c r="A560">
        <v>37</v>
      </c>
      <c r="B560">
        <f>CalculateVacation(VLOOKUP(A560,'Employee Data'!A7:P106,16,FALSE),VLOOKUP(A560,'Employee Data'!A7:V106,22,FALSE))</f>
        <v>407.5</v>
      </c>
      <c r="C560">
        <v>16</v>
      </c>
      <c r="D560" s="3">
        <v>43853</v>
      </c>
      <c r="E560" s="3">
        <v>43880</v>
      </c>
      <c r="F560">
        <f t="shared" si="8"/>
        <v>391.5</v>
      </c>
    </row>
    <row r="561" spans="1:6" x14ac:dyDescent="0.25">
      <c r="A561">
        <v>15</v>
      </c>
      <c r="B561">
        <f>CalculateVacation(VLOOKUP(A561,'Employee Data'!A7:P106,16,FALSE),VLOOKUP(A561,'Employee Data'!A7:V106,22,FALSE))</f>
        <v>651</v>
      </c>
      <c r="C561">
        <v>1</v>
      </c>
      <c r="D561" s="3">
        <v>43925</v>
      </c>
      <c r="E561" s="3">
        <v>43933</v>
      </c>
      <c r="F561">
        <f t="shared" si="8"/>
        <v>650</v>
      </c>
    </row>
    <row r="562" spans="1:6" x14ac:dyDescent="0.25">
      <c r="A562">
        <v>65</v>
      </c>
      <c r="B562">
        <f>CalculateVacation(VLOOKUP(A562,'Employee Data'!A7:P106,16,FALSE),VLOOKUP(A562,'Employee Data'!A7:V106,22,FALSE))</f>
        <v>112.5</v>
      </c>
      <c r="C562">
        <v>4</v>
      </c>
      <c r="D562" s="3">
        <v>44077</v>
      </c>
      <c r="E562" s="3">
        <v>44086</v>
      </c>
      <c r="F562">
        <f t="shared" si="8"/>
        <v>108.5</v>
      </c>
    </row>
    <row r="563" spans="1:6" x14ac:dyDescent="0.25">
      <c r="A563">
        <v>98</v>
      </c>
      <c r="B563">
        <f>CalculateVacation(VLOOKUP(A563,'Employee Data'!A7:P106,16,FALSE),VLOOKUP(A563,'Employee Data'!A7:V106,22,FALSE))</f>
        <v>648</v>
      </c>
      <c r="C563">
        <v>11</v>
      </c>
      <c r="D563" s="3">
        <v>44044</v>
      </c>
      <c r="E563" s="3">
        <v>44049</v>
      </c>
      <c r="F563">
        <f t="shared" si="8"/>
        <v>637</v>
      </c>
    </row>
    <row r="564" spans="1:6" x14ac:dyDescent="0.25">
      <c r="A564">
        <v>61</v>
      </c>
      <c r="B564">
        <f>CalculateVacation(VLOOKUP(A564,'Employee Data'!A7:P106,16,FALSE),VLOOKUP(A564,'Employee Data'!A7:V106,22,FALSE))</f>
        <v>126</v>
      </c>
      <c r="C564">
        <v>23</v>
      </c>
      <c r="D564" s="3">
        <v>43744</v>
      </c>
      <c r="E564" s="3">
        <v>43753</v>
      </c>
      <c r="F564">
        <f t="shared" si="8"/>
        <v>103</v>
      </c>
    </row>
    <row r="565" spans="1:6" x14ac:dyDescent="0.25">
      <c r="A565">
        <v>58</v>
      </c>
      <c r="B565">
        <f>CalculateVacation(VLOOKUP(A565,'Employee Data'!A7:P106,16,FALSE),VLOOKUP(A565,'Employee Data'!A7:V106,22,FALSE))</f>
        <v>114</v>
      </c>
      <c r="C565">
        <v>6</v>
      </c>
      <c r="D565" s="3">
        <v>43842</v>
      </c>
      <c r="E565" s="3">
        <v>43848</v>
      </c>
      <c r="F565">
        <f t="shared" si="8"/>
        <v>108</v>
      </c>
    </row>
    <row r="566" spans="1:6" x14ac:dyDescent="0.25">
      <c r="A566">
        <v>69</v>
      </c>
      <c r="B566">
        <f>CalculateVacation(VLOOKUP(A566,'Employee Data'!A7:P106,16,FALSE),VLOOKUP(A566,'Employee Data'!A7:V106,22,FALSE))</f>
        <v>250</v>
      </c>
      <c r="C566">
        <v>5</v>
      </c>
      <c r="D566" s="3">
        <v>44086</v>
      </c>
      <c r="E566" s="3">
        <v>44091</v>
      </c>
      <c r="F566">
        <f t="shared" si="8"/>
        <v>245</v>
      </c>
    </row>
    <row r="567" spans="1:6" x14ac:dyDescent="0.25">
      <c r="A567">
        <v>53</v>
      </c>
      <c r="B567">
        <f>CalculateVacation(VLOOKUP(A567,'Employee Data'!A7:P106,16,FALSE),VLOOKUP(A567,'Employee Data'!A7:V106,22,FALSE))</f>
        <v>630</v>
      </c>
      <c r="C567">
        <v>19</v>
      </c>
      <c r="D567" s="3">
        <v>43594</v>
      </c>
      <c r="E567" s="3">
        <v>43690</v>
      </c>
      <c r="F567">
        <f t="shared" si="8"/>
        <v>611</v>
      </c>
    </row>
    <row r="568" spans="1:6" x14ac:dyDescent="0.25">
      <c r="A568">
        <v>74</v>
      </c>
      <c r="B568">
        <f>CalculateVacation(VLOOKUP(A568,'Employee Data'!A7:P106,16,FALSE),VLOOKUP(A568,'Employee Data'!A7:V106,22,FALSE))</f>
        <v>417.5</v>
      </c>
      <c r="C568">
        <v>14</v>
      </c>
      <c r="D568" s="3">
        <v>43515</v>
      </c>
      <c r="E568" s="3">
        <v>43742</v>
      </c>
      <c r="F568">
        <f t="shared" si="8"/>
        <v>403.5</v>
      </c>
    </row>
    <row r="569" spans="1:6" x14ac:dyDescent="0.25">
      <c r="A569">
        <v>27</v>
      </c>
      <c r="B569">
        <f>CalculateVacation(VLOOKUP(A569,'Employee Data'!A7:P106,16,FALSE),VLOOKUP(A569,'Employee Data'!A7:V106,22,FALSE))</f>
        <v>0</v>
      </c>
      <c r="C569">
        <v>22</v>
      </c>
      <c r="D569" s="3">
        <v>43869</v>
      </c>
      <c r="E569" s="3">
        <v>43870</v>
      </c>
      <c r="F569">
        <f t="shared" si="8"/>
        <v>-22</v>
      </c>
    </row>
    <row r="570" spans="1:6" x14ac:dyDescent="0.25">
      <c r="A570">
        <v>52</v>
      </c>
      <c r="B570">
        <f>CalculateVacation(VLOOKUP(A570,'Employee Data'!A7:P106,16,FALSE),VLOOKUP(A570,'Employee Data'!A7:V106,22,FALSE))</f>
        <v>8</v>
      </c>
      <c r="C570">
        <v>26</v>
      </c>
      <c r="D570" s="3">
        <v>44009</v>
      </c>
      <c r="E570" s="3">
        <v>44017</v>
      </c>
      <c r="F570">
        <f t="shared" si="8"/>
        <v>-18</v>
      </c>
    </row>
    <row r="571" spans="1:6" x14ac:dyDescent="0.25">
      <c r="A571">
        <v>72</v>
      </c>
      <c r="B571">
        <f>CalculateVacation(VLOOKUP(A571,'Employee Data'!A7:P106,16,FALSE),VLOOKUP(A571,'Employee Data'!A7:V106,22,FALSE))</f>
        <v>537</v>
      </c>
      <c r="C571">
        <v>10</v>
      </c>
      <c r="D571" s="3">
        <v>43771</v>
      </c>
      <c r="E571" s="3">
        <v>43913</v>
      </c>
      <c r="F571">
        <f t="shared" si="8"/>
        <v>527</v>
      </c>
    </row>
    <row r="572" spans="1:6" x14ac:dyDescent="0.25">
      <c r="A572">
        <v>76</v>
      </c>
      <c r="B572">
        <f>CalculateVacation(VLOOKUP(A572,'Employee Data'!A7:P106,16,FALSE),VLOOKUP(A572,'Employee Data'!A7:V106,22,FALSE))</f>
        <v>591</v>
      </c>
      <c r="C572">
        <v>23</v>
      </c>
      <c r="D572" s="3">
        <v>43878</v>
      </c>
      <c r="E572" s="3">
        <v>43888</v>
      </c>
      <c r="F572">
        <f t="shared" si="8"/>
        <v>568</v>
      </c>
    </row>
    <row r="573" spans="1:6" x14ac:dyDescent="0.25">
      <c r="A573">
        <v>42</v>
      </c>
      <c r="B573">
        <f>CalculateVacation(VLOOKUP(A573,'Employee Data'!A7:P106,16,FALSE),VLOOKUP(A573,'Employee Data'!A7:V106,22,FALSE))</f>
        <v>669</v>
      </c>
      <c r="C573">
        <v>6</v>
      </c>
      <c r="D573" s="3">
        <v>44035</v>
      </c>
      <c r="E573" s="3">
        <v>44042</v>
      </c>
      <c r="F573">
        <f t="shared" si="8"/>
        <v>663</v>
      </c>
    </row>
    <row r="574" spans="1:6" x14ac:dyDescent="0.25">
      <c r="A574">
        <v>31</v>
      </c>
      <c r="B574">
        <f>CalculateVacation(VLOOKUP(A574,'Employee Data'!A7:P106,16,FALSE),VLOOKUP(A574,'Employee Data'!A7:V106,22,FALSE))</f>
        <v>570</v>
      </c>
      <c r="C574">
        <v>28</v>
      </c>
      <c r="D574" s="3">
        <v>43880</v>
      </c>
      <c r="E574" s="3">
        <v>43884</v>
      </c>
      <c r="F574">
        <f t="shared" si="8"/>
        <v>542</v>
      </c>
    </row>
    <row r="575" spans="1:6" x14ac:dyDescent="0.25">
      <c r="A575">
        <v>59</v>
      </c>
      <c r="B575">
        <f>CalculateVacation(VLOOKUP(A575,'Employee Data'!A7:P106,16,FALSE),VLOOKUP(A575,'Employee Data'!A7:V106,22,FALSE))</f>
        <v>54</v>
      </c>
      <c r="C575">
        <v>28</v>
      </c>
      <c r="D575" s="3">
        <v>44001</v>
      </c>
      <c r="E575" s="3">
        <v>44091</v>
      </c>
      <c r="F575">
        <f t="shared" si="8"/>
        <v>26</v>
      </c>
    </row>
    <row r="576" spans="1:6" x14ac:dyDescent="0.25">
      <c r="A576">
        <v>39</v>
      </c>
      <c r="B576">
        <f>CalculateVacation(VLOOKUP(A576,'Employee Data'!A7:P106,16,FALSE),VLOOKUP(A576,'Employee Data'!A7:V106,22,FALSE))</f>
        <v>0</v>
      </c>
      <c r="C576">
        <v>5</v>
      </c>
      <c r="D576" s="3">
        <v>43491</v>
      </c>
      <c r="E576" s="3">
        <v>43544</v>
      </c>
      <c r="F576">
        <f t="shared" si="8"/>
        <v>-5</v>
      </c>
    </row>
    <row r="577" spans="1:6" x14ac:dyDescent="0.25">
      <c r="A577">
        <v>14</v>
      </c>
      <c r="B577">
        <f>CalculateVacation(VLOOKUP(A577,'Employee Data'!A7:P106,16,FALSE),VLOOKUP(A577,'Employee Data'!A7:V106,22,FALSE))</f>
        <v>0</v>
      </c>
      <c r="C577">
        <v>23</v>
      </c>
      <c r="D577" s="3">
        <v>43989</v>
      </c>
      <c r="E577" s="3">
        <v>43997</v>
      </c>
      <c r="F577">
        <f t="shared" si="8"/>
        <v>-23</v>
      </c>
    </row>
    <row r="578" spans="1:6" x14ac:dyDescent="0.25">
      <c r="A578">
        <v>40</v>
      </c>
      <c r="B578">
        <f>CalculateVacation(VLOOKUP(A578,'Employee Data'!A7:P106,16,FALSE),VLOOKUP(A578,'Employee Data'!A7:V106,22,FALSE))</f>
        <v>672</v>
      </c>
      <c r="C578">
        <v>8</v>
      </c>
      <c r="D578" s="3">
        <v>43810</v>
      </c>
      <c r="E578" s="3">
        <v>43818</v>
      </c>
      <c r="F578">
        <f t="shared" si="8"/>
        <v>664</v>
      </c>
    </row>
    <row r="579" spans="1:6" x14ac:dyDescent="0.25">
      <c r="A579">
        <v>40</v>
      </c>
      <c r="B579">
        <f>CalculateVacation(VLOOKUP(A579,'Employee Data'!A7:P106,16,FALSE),VLOOKUP(A579,'Employee Data'!A7:V106,22,FALSE))</f>
        <v>672</v>
      </c>
      <c r="C579">
        <v>19</v>
      </c>
      <c r="D579" s="3">
        <v>43928</v>
      </c>
      <c r="E579" s="3">
        <v>43936</v>
      </c>
      <c r="F579">
        <f t="shared" si="8"/>
        <v>653</v>
      </c>
    </row>
    <row r="580" spans="1:6" x14ac:dyDescent="0.25">
      <c r="A580">
        <v>51</v>
      </c>
      <c r="B580">
        <f>CalculateVacation(VLOOKUP(A580,'Employee Data'!A7:P106,16,FALSE),VLOOKUP(A580,'Employee Data'!A7:V106,22,FALSE))</f>
        <v>0</v>
      </c>
      <c r="C580">
        <v>28</v>
      </c>
      <c r="D580" s="3">
        <v>43525</v>
      </c>
      <c r="E580" s="3">
        <v>43803</v>
      </c>
      <c r="F580">
        <f t="shared" si="8"/>
        <v>-28</v>
      </c>
    </row>
    <row r="581" spans="1:6" x14ac:dyDescent="0.25">
      <c r="A581">
        <v>73</v>
      </c>
      <c r="B581">
        <f>CalculateVacation(VLOOKUP(A581,'Employee Data'!A7:P106,16,FALSE),VLOOKUP(A581,'Employee Data'!A7:V106,22,FALSE))</f>
        <v>105</v>
      </c>
      <c r="C581">
        <v>1</v>
      </c>
      <c r="D581" s="3">
        <v>43697</v>
      </c>
      <c r="E581" s="3">
        <v>43873</v>
      </c>
      <c r="F581">
        <f t="shared" si="8"/>
        <v>104</v>
      </c>
    </row>
    <row r="582" spans="1:6" x14ac:dyDescent="0.25">
      <c r="A582">
        <v>21</v>
      </c>
      <c r="B582">
        <f>CalculateVacation(VLOOKUP(A582,'Employee Data'!A7:P106,16,FALSE),VLOOKUP(A582,'Employee Data'!A7:V106,22,FALSE))</f>
        <v>175.5</v>
      </c>
      <c r="C582">
        <v>8</v>
      </c>
      <c r="D582" s="3">
        <v>43833</v>
      </c>
      <c r="E582" s="3">
        <v>44063</v>
      </c>
      <c r="F582">
        <f t="shared" si="8"/>
        <v>167.5</v>
      </c>
    </row>
    <row r="583" spans="1:6" x14ac:dyDescent="0.25">
      <c r="A583">
        <v>41</v>
      </c>
      <c r="B583">
        <f>CalculateVacation(VLOOKUP(A583,'Employee Data'!A7:P106,16,FALSE),VLOOKUP(A583,'Employee Data'!A7:V106,22,FALSE))</f>
        <v>365</v>
      </c>
      <c r="C583">
        <v>15</v>
      </c>
      <c r="D583" s="3">
        <v>43999</v>
      </c>
      <c r="E583" s="3">
        <v>44003</v>
      </c>
      <c r="F583">
        <f t="shared" si="8"/>
        <v>350</v>
      </c>
    </row>
    <row r="584" spans="1:6" x14ac:dyDescent="0.25">
      <c r="A584">
        <v>26</v>
      </c>
      <c r="B584">
        <f>CalculateVacation(VLOOKUP(A584,'Employee Data'!A7:P106,16,FALSE),VLOOKUP(A584,'Employee Data'!A7:V106,22,FALSE))</f>
        <v>12.75</v>
      </c>
      <c r="C584">
        <v>5</v>
      </c>
      <c r="D584" s="3">
        <v>43629</v>
      </c>
      <c r="E584" s="3">
        <v>44049</v>
      </c>
      <c r="F584">
        <f t="shared" ref="F584:F647" si="9">B584-C584</f>
        <v>7.75</v>
      </c>
    </row>
    <row r="585" spans="1:6" x14ac:dyDescent="0.25">
      <c r="A585">
        <v>45</v>
      </c>
      <c r="B585">
        <f>CalculateVacation(VLOOKUP(A585,'Employee Data'!A7:P106,16,FALSE),VLOOKUP(A585,'Employee Data'!A7:V106,22,FALSE))</f>
        <v>45</v>
      </c>
      <c r="C585">
        <v>4</v>
      </c>
      <c r="D585" s="3">
        <v>43858</v>
      </c>
      <c r="E585" s="3">
        <v>44007</v>
      </c>
      <c r="F585">
        <f t="shared" si="9"/>
        <v>41</v>
      </c>
    </row>
    <row r="586" spans="1:6" x14ac:dyDescent="0.25">
      <c r="A586">
        <v>78</v>
      </c>
      <c r="B586">
        <f>CalculateVacation(VLOOKUP(A586,'Employee Data'!A7:P106,16,FALSE),VLOOKUP(A586,'Employee Data'!A7:V106,22,FALSE))</f>
        <v>0</v>
      </c>
      <c r="C586">
        <v>14</v>
      </c>
      <c r="D586" s="3">
        <v>43988</v>
      </c>
      <c r="E586" s="3">
        <v>43991</v>
      </c>
      <c r="F586">
        <f t="shared" si="9"/>
        <v>-14</v>
      </c>
    </row>
    <row r="587" spans="1:6" x14ac:dyDescent="0.25">
      <c r="A587">
        <v>97</v>
      </c>
      <c r="B587">
        <f>CalculateVacation(VLOOKUP(A587,'Employee Data'!A7:P106,16,FALSE),VLOOKUP(A587,'Employee Data'!A7:V106,22,FALSE))</f>
        <v>355</v>
      </c>
      <c r="C587">
        <v>3</v>
      </c>
      <c r="D587" s="3">
        <v>44003</v>
      </c>
      <c r="E587" s="3">
        <v>44005</v>
      </c>
      <c r="F587">
        <f t="shared" si="9"/>
        <v>352</v>
      </c>
    </row>
    <row r="588" spans="1:6" x14ac:dyDescent="0.25">
      <c r="A588">
        <v>73</v>
      </c>
      <c r="B588">
        <f>CalculateVacation(VLOOKUP(A588,'Employee Data'!A7:P106,16,FALSE),VLOOKUP(A588,'Employee Data'!A7:V106,22,FALSE))</f>
        <v>105</v>
      </c>
      <c r="C588">
        <v>16</v>
      </c>
      <c r="D588" s="3">
        <v>43471</v>
      </c>
      <c r="E588" s="3">
        <v>44102</v>
      </c>
      <c r="F588">
        <f t="shared" si="9"/>
        <v>89</v>
      </c>
    </row>
    <row r="589" spans="1:6" x14ac:dyDescent="0.25">
      <c r="A589">
        <v>53</v>
      </c>
      <c r="B589">
        <f>CalculateVacation(VLOOKUP(A589,'Employee Data'!A7:P106,16,FALSE),VLOOKUP(A589,'Employee Data'!A7:V106,22,FALSE))</f>
        <v>630</v>
      </c>
      <c r="C589">
        <v>20</v>
      </c>
      <c r="D589" s="3">
        <v>43650</v>
      </c>
      <c r="E589" s="3">
        <v>43719</v>
      </c>
      <c r="F589">
        <f t="shared" si="9"/>
        <v>610</v>
      </c>
    </row>
    <row r="590" spans="1:6" x14ac:dyDescent="0.25">
      <c r="A590">
        <v>67</v>
      </c>
      <c r="B590">
        <f>CalculateVacation(VLOOKUP(A590,'Employee Data'!A7:P106,16,FALSE),VLOOKUP(A590,'Employee Data'!A7:V106,22,FALSE))</f>
        <v>20</v>
      </c>
      <c r="C590">
        <v>21</v>
      </c>
      <c r="D590" s="3">
        <v>44099</v>
      </c>
      <c r="E590" s="3">
        <v>44105</v>
      </c>
      <c r="F590">
        <f t="shared" si="9"/>
        <v>-1</v>
      </c>
    </row>
    <row r="591" spans="1:6" x14ac:dyDescent="0.25">
      <c r="A591">
        <v>100</v>
      </c>
      <c r="B591">
        <f>CalculateVacation(VLOOKUP(A591,'Employee Data'!A7:P106,16,FALSE),VLOOKUP(A591,'Employee Data'!A7:V106,22,FALSE))</f>
        <v>540</v>
      </c>
      <c r="C591">
        <v>18</v>
      </c>
      <c r="D591" s="3">
        <v>43473</v>
      </c>
      <c r="E591" s="3">
        <v>43514</v>
      </c>
      <c r="F591">
        <f t="shared" si="9"/>
        <v>522</v>
      </c>
    </row>
    <row r="592" spans="1:6" x14ac:dyDescent="0.25">
      <c r="A592">
        <v>34</v>
      </c>
      <c r="B592">
        <f>CalculateVacation(VLOOKUP(A592,'Employee Data'!A7:P106,16,FALSE),VLOOKUP(A592,'Employee Data'!A7:V106,22,FALSE))</f>
        <v>591</v>
      </c>
      <c r="C592">
        <v>10</v>
      </c>
      <c r="D592" s="3">
        <v>43516</v>
      </c>
      <c r="E592" s="3">
        <v>43913</v>
      </c>
      <c r="F592">
        <f t="shared" si="9"/>
        <v>581</v>
      </c>
    </row>
    <row r="593" spans="1:6" x14ac:dyDescent="0.25">
      <c r="A593">
        <v>78</v>
      </c>
      <c r="B593">
        <f>CalculateVacation(VLOOKUP(A593,'Employee Data'!A7:P106,16,FALSE),VLOOKUP(A593,'Employee Data'!A7:V106,22,FALSE))</f>
        <v>0</v>
      </c>
      <c r="C593">
        <v>22</v>
      </c>
      <c r="D593" s="3">
        <v>43521</v>
      </c>
      <c r="E593" s="3">
        <v>43964</v>
      </c>
      <c r="F593">
        <f t="shared" si="9"/>
        <v>-22</v>
      </c>
    </row>
    <row r="594" spans="1:6" x14ac:dyDescent="0.25">
      <c r="A594">
        <v>41</v>
      </c>
      <c r="B594">
        <f>CalculateVacation(VLOOKUP(A594,'Employee Data'!A7:P106,16,FALSE),VLOOKUP(A594,'Employee Data'!A7:V106,22,FALSE))</f>
        <v>365</v>
      </c>
      <c r="C594">
        <v>30</v>
      </c>
      <c r="D594" s="3">
        <v>43888</v>
      </c>
      <c r="E594" s="3">
        <v>43890</v>
      </c>
      <c r="F594">
        <f t="shared" si="9"/>
        <v>335</v>
      </c>
    </row>
    <row r="595" spans="1:6" x14ac:dyDescent="0.25">
      <c r="A595">
        <v>55</v>
      </c>
      <c r="B595">
        <f>CalculateVacation(VLOOKUP(A595,'Employee Data'!A7:P106,16,FALSE),VLOOKUP(A595,'Employee Data'!A7:V106,22,FALSE))</f>
        <v>0</v>
      </c>
      <c r="C595">
        <v>4</v>
      </c>
      <c r="D595" s="3">
        <v>44104</v>
      </c>
      <c r="E595" s="3">
        <v>44105</v>
      </c>
      <c r="F595">
        <f t="shared" si="9"/>
        <v>-4</v>
      </c>
    </row>
    <row r="596" spans="1:6" x14ac:dyDescent="0.25">
      <c r="A596">
        <v>32</v>
      </c>
      <c r="B596">
        <f>CalculateVacation(VLOOKUP(A596,'Employee Data'!A7:P106,16,FALSE),VLOOKUP(A596,'Employee Data'!A7:V106,22,FALSE))</f>
        <v>238</v>
      </c>
      <c r="C596">
        <v>14</v>
      </c>
      <c r="D596" s="3">
        <v>43540</v>
      </c>
      <c r="E596" s="3">
        <v>44096</v>
      </c>
      <c r="F596">
        <f t="shared" si="9"/>
        <v>224</v>
      </c>
    </row>
    <row r="597" spans="1:6" x14ac:dyDescent="0.25">
      <c r="A597">
        <v>95</v>
      </c>
      <c r="B597">
        <f>CalculateVacation(VLOOKUP(A597,'Employee Data'!A7:P106,16,FALSE),VLOOKUP(A597,'Employee Data'!A7:V106,22,FALSE))</f>
        <v>618</v>
      </c>
      <c r="C597">
        <v>6</v>
      </c>
      <c r="D597" s="3">
        <v>43718</v>
      </c>
      <c r="E597" s="3">
        <v>43722</v>
      </c>
      <c r="F597">
        <f t="shared" si="9"/>
        <v>612</v>
      </c>
    </row>
    <row r="598" spans="1:6" x14ac:dyDescent="0.25">
      <c r="A598">
        <v>40</v>
      </c>
      <c r="B598">
        <f>CalculateVacation(VLOOKUP(A598,'Employee Data'!A7:P106,16,FALSE),VLOOKUP(A598,'Employee Data'!A7:V106,22,FALSE))</f>
        <v>672</v>
      </c>
      <c r="C598">
        <v>1</v>
      </c>
      <c r="D598" s="3">
        <v>43888</v>
      </c>
      <c r="E598" s="3">
        <v>43889</v>
      </c>
      <c r="F598">
        <f t="shared" si="9"/>
        <v>671</v>
      </c>
    </row>
    <row r="599" spans="1:6" x14ac:dyDescent="0.25">
      <c r="A599">
        <v>4</v>
      </c>
      <c r="B599">
        <f>CalculateVacation(VLOOKUP(A599,'Employee Data'!A7:P106,16,FALSE),VLOOKUP(A599,'Employee Data'!A7:V106,22,FALSE))</f>
        <v>242</v>
      </c>
      <c r="C599">
        <v>1</v>
      </c>
      <c r="D599" s="3">
        <v>43720</v>
      </c>
      <c r="E599" s="3">
        <v>44045</v>
      </c>
      <c r="F599">
        <f t="shared" si="9"/>
        <v>241</v>
      </c>
    </row>
    <row r="600" spans="1:6" x14ac:dyDescent="0.25">
      <c r="A600">
        <v>1</v>
      </c>
      <c r="B600">
        <f>CalculateVacation(VLOOKUP(A600,'Employee Data'!A7:P106,16,FALSE),VLOOKUP(A600,'Employee Data'!A7:V106,22,FALSE))</f>
        <v>244</v>
      </c>
      <c r="C600">
        <v>22</v>
      </c>
      <c r="D600" s="3">
        <v>43770</v>
      </c>
      <c r="E600" s="3">
        <v>43795</v>
      </c>
      <c r="F600">
        <f t="shared" si="9"/>
        <v>222</v>
      </c>
    </row>
    <row r="601" spans="1:6" x14ac:dyDescent="0.25">
      <c r="A601">
        <v>82</v>
      </c>
      <c r="B601">
        <f>CalculateVacation(VLOOKUP(A601,'Employee Data'!A7:P106,16,FALSE),VLOOKUP(A601,'Employee Data'!A7:V106,22,FALSE))</f>
        <v>0</v>
      </c>
      <c r="C601">
        <v>2</v>
      </c>
      <c r="D601" s="3">
        <v>43943</v>
      </c>
      <c r="E601" s="3">
        <v>43944</v>
      </c>
      <c r="F601">
        <f t="shared" si="9"/>
        <v>-2</v>
      </c>
    </row>
    <row r="602" spans="1:6" x14ac:dyDescent="0.25">
      <c r="A602">
        <v>71</v>
      </c>
      <c r="B602">
        <f>CalculateVacation(VLOOKUP(A602,'Employee Data'!A7:P106,16,FALSE),VLOOKUP(A602,'Employee Data'!A7:V106,22,FALSE))</f>
        <v>117</v>
      </c>
      <c r="C602">
        <v>2</v>
      </c>
      <c r="D602" s="3">
        <v>43757</v>
      </c>
      <c r="E602" s="3">
        <v>43763</v>
      </c>
      <c r="F602">
        <f t="shared" si="9"/>
        <v>115</v>
      </c>
    </row>
    <row r="603" spans="1:6" x14ac:dyDescent="0.25">
      <c r="A603">
        <v>81</v>
      </c>
      <c r="B603">
        <f>CalculateVacation(VLOOKUP(A603,'Employee Data'!A7:P106,16,FALSE),VLOOKUP(A603,'Employee Data'!A7:V106,22,FALSE))</f>
        <v>410</v>
      </c>
      <c r="C603">
        <v>4</v>
      </c>
      <c r="D603" s="3">
        <v>43747</v>
      </c>
      <c r="E603" s="3">
        <v>43875</v>
      </c>
      <c r="F603">
        <f t="shared" si="9"/>
        <v>406</v>
      </c>
    </row>
    <row r="604" spans="1:6" x14ac:dyDescent="0.25">
      <c r="A604">
        <v>71</v>
      </c>
      <c r="B604">
        <f>CalculateVacation(VLOOKUP(A604,'Employee Data'!A7:P106,16,FALSE),VLOOKUP(A604,'Employee Data'!A7:V106,22,FALSE))</f>
        <v>117</v>
      </c>
      <c r="C604">
        <v>13</v>
      </c>
      <c r="D604" s="3">
        <v>44065</v>
      </c>
      <c r="E604" s="3">
        <v>44070</v>
      </c>
      <c r="F604">
        <f t="shared" si="9"/>
        <v>104</v>
      </c>
    </row>
    <row r="605" spans="1:6" x14ac:dyDescent="0.25">
      <c r="A605">
        <v>84</v>
      </c>
      <c r="B605">
        <f>CalculateVacation(VLOOKUP(A605,'Employee Data'!A7:P106,16,FALSE),VLOOKUP(A605,'Employee Data'!A7:V106,22,FALSE))</f>
        <v>615</v>
      </c>
      <c r="C605">
        <v>26</v>
      </c>
      <c r="D605" s="3">
        <v>43753</v>
      </c>
      <c r="E605" s="3">
        <v>44095</v>
      </c>
      <c r="F605">
        <f t="shared" si="9"/>
        <v>589</v>
      </c>
    </row>
    <row r="606" spans="1:6" x14ac:dyDescent="0.25">
      <c r="A606">
        <v>75</v>
      </c>
      <c r="B606">
        <f>CalculateVacation(VLOOKUP(A606,'Employee Data'!A7:P106,16,FALSE),VLOOKUP(A606,'Employee Data'!A7:V106,22,FALSE))</f>
        <v>407.5</v>
      </c>
      <c r="C606">
        <v>3</v>
      </c>
      <c r="D606" s="3">
        <v>43850</v>
      </c>
      <c r="E606" s="3">
        <v>44054</v>
      </c>
      <c r="F606">
        <f t="shared" si="9"/>
        <v>404.5</v>
      </c>
    </row>
    <row r="607" spans="1:6" x14ac:dyDescent="0.25">
      <c r="A607">
        <v>98</v>
      </c>
      <c r="B607">
        <f>CalculateVacation(VLOOKUP(A607,'Employee Data'!A7:P106,16,FALSE),VLOOKUP(A607,'Employee Data'!A7:V106,22,FALSE))</f>
        <v>648</v>
      </c>
      <c r="C607">
        <v>21</v>
      </c>
      <c r="D607" s="3">
        <v>44104</v>
      </c>
      <c r="E607" s="3">
        <v>44105</v>
      </c>
      <c r="F607">
        <f t="shared" si="9"/>
        <v>627</v>
      </c>
    </row>
    <row r="608" spans="1:6" x14ac:dyDescent="0.25">
      <c r="A608">
        <v>100</v>
      </c>
      <c r="B608">
        <f>CalculateVacation(VLOOKUP(A608,'Employee Data'!A7:P106,16,FALSE),VLOOKUP(A608,'Employee Data'!A7:V106,22,FALSE))</f>
        <v>540</v>
      </c>
      <c r="C608">
        <v>13</v>
      </c>
      <c r="D608" s="3">
        <v>44019</v>
      </c>
      <c r="E608" s="3">
        <v>44021</v>
      </c>
      <c r="F608">
        <f t="shared" si="9"/>
        <v>527</v>
      </c>
    </row>
    <row r="609" spans="1:6" x14ac:dyDescent="0.25">
      <c r="A609">
        <v>50</v>
      </c>
      <c r="B609">
        <f>CalculateVacation(VLOOKUP(A609,'Employee Data'!A7:P106,16,FALSE),VLOOKUP(A609,'Employee Data'!A7:V106,22,FALSE))</f>
        <v>144</v>
      </c>
      <c r="C609">
        <v>20</v>
      </c>
      <c r="D609" s="3">
        <v>43584</v>
      </c>
      <c r="E609" s="3">
        <v>43982</v>
      </c>
      <c r="F609">
        <f t="shared" si="9"/>
        <v>124</v>
      </c>
    </row>
    <row r="610" spans="1:6" x14ac:dyDescent="0.25">
      <c r="A610">
        <v>55</v>
      </c>
      <c r="B610">
        <f>CalculateVacation(VLOOKUP(A610,'Employee Data'!A7:P106,16,FALSE),VLOOKUP(A610,'Employee Data'!A7:V106,22,FALSE))</f>
        <v>0</v>
      </c>
      <c r="C610">
        <v>24</v>
      </c>
      <c r="D610" s="3">
        <v>43689</v>
      </c>
      <c r="E610" s="3">
        <v>43897</v>
      </c>
      <c r="F610">
        <f t="shared" si="9"/>
        <v>-24</v>
      </c>
    </row>
    <row r="611" spans="1:6" x14ac:dyDescent="0.25">
      <c r="A611">
        <v>75</v>
      </c>
      <c r="B611">
        <f>CalculateVacation(VLOOKUP(A611,'Employee Data'!A7:P106,16,FALSE),VLOOKUP(A611,'Employee Data'!A7:V106,22,FALSE))</f>
        <v>407.5</v>
      </c>
      <c r="C611">
        <v>10</v>
      </c>
      <c r="D611" s="3">
        <v>43695</v>
      </c>
      <c r="E611" s="3">
        <v>43699</v>
      </c>
      <c r="F611">
        <f t="shared" si="9"/>
        <v>397.5</v>
      </c>
    </row>
    <row r="612" spans="1:6" x14ac:dyDescent="0.25">
      <c r="A612">
        <v>41</v>
      </c>
      <c r="B612">
        <f>CalculateVacation(VLOOKUP(A612,'Employee Data'!A7:P106,16,FALSE),VLOOKUP(A612,'Employee Data'!A7:V106,22,FALSE))</f>
        <v>365</v>
      </c>
      <c r="C612">
        <v>30</v>
      </c>
      <c r="D612" s="3">
        <v>43920</v>
      </c>
      <c r="E612" s="3">
        <v>43927</v>
      </c>
      <c r="F612">
        <f t="shared" si="9"/>
        <v>335</v>
      </c>
    </row>
    <row r="613" spans="1:6" x14ac:dyDescent="0.25">
      <c r="A613">
        <v>25</v>
      </c>
      <c r="B613">
        <f>CalculateVacation(VLOOKUP(A613,'Employee Data'!A7:P106,16,FALSE),VLOOKUP(A613,'Employee Data'!A7:V106,22,FALSE))</f>
        <v>52</v>
      </c>
      <c r="C613">
        <v>20</v>
      </c>
      <c r="D613" s="3">
        <v>43864</v>
      </c>
      <c r="E613" s="3">
        <v>43867</v>
      </c>
      <c r="F613">
        <f t="shared" si="9"/>
        <v>32</v>
      </c>
    </row>
    <row r="614" spans="1:6" x14ac:dyDescent="0.25">
      <c r="A614">
        <v>30</v>
      </c>
      <c r="B614">
        <f>CalculateVacation(VLOOKUP(A614,'Employee Data'!A7:P106,16,FALSE),VLOOKUP(A614,'Employee Data'!A7:V106,22,FALSE))</f>
        <v>138</v>
      </c>
      <c r="C614">
        <v>17</v>
      </c>
      <c r="D614" s="3">
        <v>44104</v>
      </c>
      <c r="E614" s="3">
        <v>44114</v>
      </c>
      <c r="F614">
        <f t="shared" si="9"/>
        <v>121</v>
      </c>
    </row>
    <row r="615" spans="1:6" x14ac:dyDescent="0.25">
      <c r="A615">
        <v>18</v>
      </c>
      <c r="B615">
        <f>CalculateVacation(VLOOKUP(A615,'Employee Data'!A7:P106,16,FALSE),VLOOKUP(A615,'Employee Data'!A7:V106,22,FALSE))</f>
        <v>603</v>
      </c>
      <c r="C615">
        <v>1</v>
      </c>
      <c r="D615" s="3">
        <v>43686</v>
      </c>
      <c r="E615" s="3">
        <v>44035</v>
      </c>
      <c r="F615">
        <f t="shared" si="9"/>
        <v>602</v>
      </c>
    </row>
    <row r="616" spans="1:6" x14ac:dyDescent="0.25">
      <c r="A616">
        <v>83</v>
      </c>
      <c r="B616">
        <f>CalculateVacation(VLOOKUP(A616,'Employee Data'!A7:P106,16,FALSE),VLOOKUP(A616,'Employee Data'!A7:V106,22,FALSE))</f>
        <v>405</v>
      </c>
      <c r="C616">
        <v>16</v>
      </c>
      <c r="D616" s="3">
        <v>43799</v>
      </c>
      <c r="E616" s="3">
        <v>43819</v>
      </c>
      <c r="F616">
        <f t="shared" si="9"/>
        <v>389</v>
      </c>
    </row>
    <row r="617" spans="1:6" x14ac:dyDescent="0.25">
      <c r="A617">
        <v>71</v>
      </c>
      <c r="B617">
        <f>CalculateVacation(VLOOKUP(A617,'Employee Data'!A7:P106,16,FALSE),VLOOKUP(A617,'Employee Data'!A7:V106,22,FALSE))</f>
        <v>117</v>
      </c>
      <c r="C617">
        <v>11</v>
      </c>
      <c r="D617" s="3">
        <v>43693</v>
      </c>
      <c r="E617" s="3">
        <v>43990</v>
      </c>
      <c r="F617">
        <f t="shared" si="9"/>
        <v>106</v>
      </c>
    </row>
    <row r="618" spans="1:6" x14ac:dyDescent="0.25">
      <c r="A618">
        <v>22</v>
      </c>
      <c r="B618">
        <f>CalculateVacation(VLOOKUP(A618,'Employee Data'!A7:P106,16,FALSE),VLOOKUP(A618,'Employee Data'!A7:V106,22,FALSE))</f>
        <v>43</v>
      </c>
      <c r="C618">
        <v>5</v>
      </c>
      <c r="D618" s="3">
        <v>43750</v>
      </c>
      <c r="E618" s="3">
        <v>43755</v>
      </c>
      <c r="F618">
        <f t="shared" si="9"/>
        <v>38</v>
      </c>
    </row>
    <row r="619" spans="1:6" x14ac:dyDescent="0.25">
      <c r="A619">
        <v>21</v>
      </c>
      <c r="B619">
        <f>CalculateVacation(VLOOKUP(A619,'Employee Data'!A7:P106,16,FALSE),VLOOKUP(A619,'Employee Data'!A7:V106,22,FALSE))</f>
        <v>175.5</v>
      </c>
      <c r="C619">
        <v>3</v>
      </c>
      <c r="D619" s="3">
        <v>43989</v>
      </c>
      <c r="E619" s="3">
        <v>43990</v>
      </c>
      <c r="F619">
        <f t="shared" si="9"/>
        <v>172.5</v>
      </c>
    </row>
    <row r="620" spans="1:6" x14ac:dyDescent="0.25">
      <c r="A620">
        <v>27</v>
      </c>
      <c r="B620">
        <f>CalculateVacation(VLOOKUP(A620,'Employee Data'!A7:P106,16,FALSE),VLOOKUP(A620,'Employee Data'!A7:V106,22,FALSE))</f>
        <v>0</v>
      </c>
      <c r="C620">
        <v>13</v>
      </c>
      <c r="D620" s="3">
        <v>44074</v>
      </c>
      <c r="E620" s="3">
        <v>44081</v>
      </c>
      <c r="F620">
        <f t="shared" si="9"/>
        <v>-13</v>
      </c>
    </row>
    <row r="621" spans="1:6" x14ac:dyDescent="0.25">
      <c r="A621">
        <v>57</v>
      </c>
      <c r="B621">
        <f>CalculateVacation(VLOOKUP(A621,'Employee Data'!A7:P106,16,FALSE),VLOOKUP(A621,'Employee Data'!A7:V106,22,FALSE))</f>
        <v>99</v>
      </c>
      <c r="C621">
        <v>22</v>
      </c>
      <c r="D621" s="3">
        <v>43949</v>
      </c>
      <c r="E621" s="3">
        <v>43951</v>
      </c>
      <c r="F621">
        <f t="shared" si="9"/>
        <v>77</v>
      </c>
    </row>
    <row r="622" spans="1:6" x14ac:dyDescent="0.25">
      <c r="A622">
        <v>87</v>
      </c>
      <c r="B622">
        <f>CalculateVacation(VLOOKUP(A622,'Employee Data'!A7:P106,16,FALSE),VLOOKUP(A622,'Employee Data'!A7:V106,22,FALSE))</f>
        <v>537</v>
      </c>
      <c r="C622">
        <v>4</v>
      </c>
      <c r="D622" s="3">
        <v>43589</v>
      </c>
      <c r="E622" s="3">
        <v>43725</v>
      </c>
      <c r="F622">
        <f t="shared" si="9"/>
        <v>533</v>
      </c>
    </row>
    <row r="623" spans="1:6" x14ac:dyDescent="0.25">
      <c r="A623">
        <v>59</v>
      </c>
      <c r="B623">
        <f>CalculateVacation(VLOOKUP(A623,'Employee Data'!A7:P106,16,FALSE),VLOOKUP(A623,'Employee Data'!A7:V106,22,FALSE))</f>
        <v>54</v>
      </c>
      <c r="C623">
        <v>18</v>
      </c>
      <c r="D623" s="3">
        <v>43558</v>
      </c>
      <c r="E623" s="3">
        <v>43564</v>
      </c>
      <c r="F623">
        <f t="shared" si="9"/>
        <v>36</v>
      </c>
    </row>
    <row r="624" spans="1:6" x14ac:dyDescent="0.25">
      <c r="A624">
        <v>94</v>
      </c>
      <c r="B624">
        <f>CalculateVacation(VLOOKUP(A624,'Employee Data'!A7:P106,16,FALSE),VLOOKUP(A624,'Employee Data'!A7:V106,22,FALSE))</f>
        <v>130.5</v>
      </c>
      <c r="C624">
        <v>8</v>
      </c>
      <c r="D624" s="3">
        <v>44053</v>
      </c>
      <c r="E624" s="3">
        <v>44063</v>
      </c>
      <c r="F624">
        <f t="shared" si="9"/>
        <v>122.5</v>
      </c>
    </row>
    <row r="625" spans="1:6" x14ac:dyDescent="0.25">
      <c r="A625">
        <v>32</v>
      </c>
      <c r="B625">
        <f>CalculateVacation(VLOOKUP(A625,'Employee Data'!A7:P106,16,FALSE),VLOOKUP(A625,'Employee Data'!A7:V106,22,FALSE))</f>
        <v>238</v>
      </c>
      <c r="C625">
        <v>24</v>
      </c>
      <c r="D625" s="3">
        <v>43801</v>
      </c>
      <c r="E625" s="3">
        <v>43805</v>
      </c>
      <c r="F625">
        <f t="shared" si="9"/>
        <v>214</v>
      </c>
    </row>
    <row r="626" spans="1:6" x14ac:dyDescent="0.25">
      <c r="A626">
        <v>5</v>
      </c>
      <c r="B626">
        <f>CalculateVacation(VLOOKUP(A626,'Employee Data'!A7:P106,16,FALSE),VLOOKUP(A626,'Employee Data'!A7:V106,22,FALSE))</f>
        <v>417.5</v>
      </c>
      <c r="C626">
        <v>1</v>
      </c>
      <c r="D626" s="3">
        <v>43929</v>
      </c>
      <c r="E626" s="3">
        <v>43937</v>
      </c>
      <c r="F626">
        <f t="shared" si="9"/>
        <v>416.5</v>
      </c>
    </row>
    <row r="627" spans="1:6" x14ac:dyDescent="0.25">
      <c r="A627">
        <v>52</v>
      </c>
      <c r="B627">
        <f>CalculateVacation(VLOOKUP(A627,'Employee Data'!A7:P106,16,FALSE),VLOOKUP(A627,'Employee Data'!A7:V106,22,FALSE))</f>
        <v>8</v>
      </c>
      <c r="C627">
        <v>13</v>
      </c>
      <c r="D627" s="3">
        <v>44014</v>
      </c>
      <c r="E627" s="3">
        <v>44022</v>
      </c>
      <c r="F627">
        <f t="shared" si="9"/>
        <v>-5</v>
      </c>
    </row>
    <row r="628" spans="1:6" x14ac:dyDescent="0.25">
      <c r="A628">
        <v>40</v>
      </c>
      <c r="B628">
        <f>CalculateVacation(VLOOKUP(A628,'Employee Data'!A7:P106,16,FALSE),VLOOKUP(A628,'Employee Data'!A7:V106,22,FALSE))</f>
        <v>672</v>
      </c>
      <c r="C628">
        <v>22</v>
      </c>
      <c r="D628" s="3">
        <v>44098</v>
      </c>
      <c r="E628" s="3">
        <v>44101</v>
      </c>
      <c r="F628">
        <f t="shared" si="9"/>
        <v>650</v>
      </c>
    </row>
    <row r="629" spans="1:6" x14ac:dyDescent="0.25">
      <c r="A629">
        <v>94</v>
      </c>
      <c r="B629">
        <f>CalculateVacation(VLOOKUP(A629,'Employee Data'!A7:P106,16,FALSE),VLOOKUP(A629,'Employee Data'!A7:V106,22,FALSE))</f>
        <v>130.5</v>
      </c>
      <c r="C629">
        <v>27</v>
      </c>
      <c r="D629" s="3">
        <v>43775</v>
      </c>
      <c r="E629" s="3">
        <v>44071</v>
      </c>
      <c r="F629">
        <f t="shared" si="9"/>
        <v>103.5</v>
      </c>
    </row>
    <row r="630" spans="1:6" x14ac:dyDescent="0.25">
      <c r="A630">
        <v>47</v>
      </c>
      <c r="B630">
        <f>CalculateVacation(VLOOKUP(A630,'Employee Data'!A7:P106,16,FALSE),VLOOKUP(A630,'Employee Data'!A7:V106,22,FALSE))</f>
        <v>585</v>
      </c>
      <c r="C630">
        <v>30</v>
      </c>
      <c r="D630" s="3">
        <v>43508</v>
      </c>
      <c r="E630" s="3">
        <v>43861</v>
      </c>
      <c r="F630">
        <f t="shared" si="9"/>
        <v>555</v>
      </c>
    </row>
    <row r="631" spans="1:6" x14ac:dyDescent="0.25">
      <c r="A631">
        <v>69</v>
      </c>
      <c r="B631">
        <f>CalculateVacation(VLOOKUP(A631,'Employee Data'!A7:P106,16,FALSE),VLOOKUP(A631,'Employee Data'!A7:V106,22,FALSE))</f>
        <v>250</v>
      </c>
      <c r="C631">
        <v>8</v>
      </c>
      <c r="D631" s="3">
        <v>43740</v>
      </c>
      <c r="E631" s="3">
        <v>43988</v>
      </c>
      <c r="F631">
        <f t="shared" si="9"/>
        <v>242</v>
      </c>
    </row>
    <row r="632" spans="1:6" x14ac:dyDescent="0.25">
      <c r="A632">
        <v>73</v>
      </c>
      <c r="B632">
        <f>CalculateVacation(VLOOKUP(A632,'Employee Data'!A7:P106,16,FALSE),VLOOKUP(A632,'Employee Data'!A7:V106,22,FALSE))</f>
        <v>105</v>
      </c>
      <c r="C632">
        <v>21</v>
      </c>
      <c r="D632" s="3">
        <v>43526</v>
      </c>
      <c r="E632" s="3">
        <v>43793</v>
      </c>
      <c r="F632">
        <f t="shared" si="9"/>
        <v>84</v>
      </c>
    </row>
    <row r="633" spans="1:6" x14ac:dyDescent="0.25">
      <c r="A633">
        <v>90</v>
      </c>
      <c r="B633">
        <f>CalculateVacation(VLOOKUP(A633,'Employee Data'!A7:P106,16,FALSE),VLOOKUP(A633,'Employee Data'!A7:V106,22,FALSE))</f>
        <v>154.5</v>
      </c>
      <c r="C633">
        <v>29</v>
      </c>
      <c r="D633" s="3">
        <v>44094</v>
      </c>
      <c r="E633" s="3">
        <v>44100</v>
      </c>
      <c r="F633">
        <f t="shared" si="9"/>
        <v>125.5</v>
      </c>
    </row>
    <row r="634" spans="1:6" x14ac:dyDescent="0.25">
      <c r="A634">
        <v>32</v>
      </c>
      <c r="B634">
        <f>CalculateVacation(VLOOKUP(A634,'Employee Data'!A7:P106,16,FALSE),VLOOKUP(A634,'Employee Data'!A7:V106,22,FALSE))</f>
        <v>238</v>
      </c>
      <c r="C634">
        <v>7</v>
      </c>
      <c r="D634" s="3">
        <v>44030</v>
      </c>
      <c r="E634" s="3">
        <v>44039</v>
      </c>
      <c r="F634">
        <f t="shared" si="9"/>
        <v>231</v>
      </c>
    </row>
    <row r="635" spans="1:6" x14ac:dyDescent="0.25">
      <c r="A635">
        <v>37</v>
      </c>
      <c r="B635">
        <f>CalculateVacation(VLOOKUP(A635,'Employee Data'!A7:P106,16,FALSE),VLOOKUP(A635,'Employee Data'!A7:V106,22,FALSE))</f>
        <v>407.5</v>
      </c>
      <c r="C635">
        <v>21</v>
      </c>
      <c r="D635" s="3">
        <v>43901</v>
      </c>
      <c r="E635" s="3">
        <v>43901</v>
      </c>
      <c r="F635">
        <f t="shared" si="9"/>
        <v>386.5</v>
      </c>
    </row>
    <row r="636" spans="1:6" x14ac:dyDescent="0.25">
      <c r="A636">
        <v>68</v>
      </c>
      <c r="B636">
        <f>CalculateVacation(VLOOKUP(A636,'Employee Data'!A7:P106,16,FALSE),VLOOKUP(A636,'Employee Data'!A7:V106,22,FALSE))</f>
        <v>540</v>
      </c>
      <c r="C636">
        <v>26</v>
      </c>
      <c r="D636" s="3">
        <v>43686</v>
      </c>
      <c r="E636" s="3">
        <v>43696</v>
      </c>
      <c r="F636">
        <f t="shared" si="9"/>
        <v>514</v>
      </c>
    </row>
    <row r="637" spans="1:6" x14ac:dyDescent="0.25">
      <c r="A637">
        <v>20</v>
      </c>
      <c r="B637">
        <f>CalculateVacation(VLOOKUP(A637,'Employee Data'!A7:P106,16,FALSE),VLOOKUP(A637,'Employee Data'!A7:V106,22,FALSE))</f>
        <v>410</v>
      </c>
      <c r="C637">
        <v>30</v>
      </c>
      <c r="D637" s="3">
        <v>43970</v>
      </c>
      <c r="E637" s="3">
        <v>43979</v>
      </c>
      <c r="F637">
        <f t="shared" si="9"/>
        <v>380</v>
      </c>
    </row>
    <row r="638" spans="1:6" x14ac:dyDescent="0.25">
      <c r="A638">
        <v>15</v>
      </c>
      <c r="B638">
        <f>CalculateVacation(VLOOKUP(A638,'Employee Data'!A7:P106,16,FALSE),VLOOKUP(A638,'Employee Data'!A7:V106,22,FALSE))</f>
        <v>651</v>
      </c>
      <c r="C638">
        <v>6</v>
      </c>
      <c r="D638" s="3">
        <v>43847</v>
      </c>
      <c r="E638" s="3">
        <v>44043</v>
      </c>
      <c r="F638">
        <f t="shared" si="9"/>
        <v>645</v>
      </c>
    </row>
    <row r="639" spans="1:6" x14ac:dyDescent="0.25">
      <c r="A639">
        <v>38</v>
      </c>
      <c r="B639">
        <f>CalculateVacation(VLOOKUP(A639,'Employee Data'!A7:P106,16,FALSE),VLOOKUP(A639,'Employee Data'!A7:V106,22,FALSE))</f>
        <v>387.5</v>
      </c>
      <c r="C639">
        <v>10</v>
      </c>
      <c r="D639" s="3">
        <v>44020</v>
      </c>
      <c r="E639" s="3">
        <v>44029</v>
      </c>
      <c r="F639">
        <f t="shared" si="9"/>
        <v>377.5</v>
      </c>
    </row>
    <row r="640" spans="1:6" x14ac:dyDescent="0.25">
      <c r="A640">
        <v>83</v>
      </c>
      <c r="B640">
        <f>CalculateVacation(VLOOKUP(A640,'Employee Data'!A7:P106,16,FALSE),VLOOKUP(A640,'Employee Data'!A7:V106,22,FALSE))</f>
        <v>405</v>
      </c>
      <c r="C640">
        <v>5</v>
      </c>
      <c r="D640" s="3">
        <v>43611</v>
      </c>
      <c r="E640" s="3">
        <v>43802</v>
      </c>
      <c r="F640">
        <f t="shared" si="9"/>
        <v>400</v>
      </c>
    </row>
    <row r="641" spans="1:6" x14ac:dyDescent="0.25">
      <c r="A641">
        <v>48</v>
      </c>
      <c r="B641">
        <f>CalculateVacation(VLOOKUP(A641,'Employee Data'!A7:P106,16,FALSE),VLOOKUP(A641,'Employee Data'!A7:V106,22,FALSE))</f>
        <v>174</v>
      </c>
      <c r="C641">
        <v>25</v>
      </c>
      <c r="D641" s="3">
        <v>43662</v>
      </c>
      <c r="E641" s="3">
        <v>43666</v>
      </c>
      <c r="F641">
        <f t="shared" si="9"/>
        <v>149</v>
      </c>
    </row>
    <row r="642" spans="1:6" x14ac:dyDescent="0.25">
      <c r="A642">
        <v>85</v>
      </c>
      <c r="B642">
        <f>CalculateVacation(VLOOKUP(A642,'Employee Data'!A7:P106,16,FALSE),VLOOKUP(A642,'Employee Data'!A7:V106,22,FALSE))</f>
        <v>636</v>
      </c>
      <c r="C642">
        <v>21</v>
      </c>
      <c r="D642" s="3">
        <v>43568</v>
      </c>
      <c r="E642" s="3">
        <v>43951</v>
      </c>
      <c r="F642">
        <f t="shared" si="9"/>
        <v>615</v>
      </c>
    </row>
    <row r="643" spans="1:6" x14ac:dyDescent="0.25">
      <c r="A643">
        <v>27</v>
      </c>
      <c r="B643">
        <f>CalculateVacation(VLOOKUP(A643,'Employee Data'!A7:P106,16,FALSE),VLOOKUP(A643,'Employee Data'!A7:V106,22,FALSE))</f>
        <v>0</v>
      </c>
      <c r="C643">
        <v>13</v>
      </c>
      <c r="D643" s="3">
        <v>43671</v>
      </c>
      <c r="E643" s="3">
        <v>43956</v>
      </c>
      <c r="F643">
        <f t="shared" si="9"/>
        <v>-13</v>
      </c>
    </row>
    <row r="644" spans="1:6" x14ac:dyDescent="0.25">
      <c r="A644">
        <v>6</v>
      </c>
      <c r="B644">
        <f>CalculateVacation(VLOOKUP(A644,'Employee Data'!A7:P106,16,FALSE),VLOOKUP(A644,'Employee Data'!A7:V106,22,FALSE))</f>
        <v>40.5</v>
      </c>
      <c r="C644">
        <v>26</v>
      </c>
      <c r="D644" s="3">
        <v>43521</v>
      </c>
      <c r="E644" s="3">
        <v>43602</v>
      </c>
      <c r="F644">
        <f t="shared" si="9"/>
        <v>14.5</v>
      </c>
    </row>
    <row r="645" spans="1:6" x14ac:dyDescent="0.25">
      <c r="A645">
        <v>45</v>
      </c>
      <c r="B645">
        <f>CalculateVacation(VLOOKUP(A645,'Employee Data'!A7:P106,16,FALSE),VLOOKUP(A645,'Employee Data'!A7:V106,22,FALSE))</f>
        <v>45</v>
      </c>
      <c r="C645">
        <v>30</v>
      </c>
      <c r="D645" s="3">
        <v>43487</v>
      </c>
      <c r="E645" s="3">
        <v>43642</v>
      </c>
      <c r="F645">
        <f t="shared" si="9"/>
        <v>15</v>
      </c>
    </row>
    <row r="646" spans="1:6" x14ac:dyDescent="0.25">
      <c r="A646">
        <v>27</v>
      </c>
      <c r="B646">
        <f>CalculateVacation(VLOOKUP(A646,'Employee Data'!A7:P106,16,FALSE),VLOOKUP(A646,'Employee Data'!A7:V106,22,FALSE))</f>
        <v>0</v>
      </c>
      <c r="C646">
        <v>23</v>
      </c>
      <c r="D646" s="3">
        <v>43976</v>
      </c>
      <c r="E646" s="3">
        <v>44047</v>
      </c>
      <c r="F646">
        <f t="shared" si="9"/>
        <v>-23</v>
      </c>
    </row>
    <row r="647" spans="1:6" x14ac:dyDescent="0.25">
      <c r="A647">
        <v>10</v>
      </c>
      <c r="B647">
        <f>CalculateVacation(VLOOKUP(A647,'Employee Data'!A7:P106,16,FALSE),VLOOKUP(A647,'Employee Data'!A7:V106,22,FALSE))</f>
        <v>150</v>
      </c>
      <c r="C647">
        <v>23</v>
      </c>
      <c r="D647" s="3">
        <v>43568</v>
      </c>
      <c r="E647" s="3">
        <v>43947</v>
      </c>
      <c r="F647">
        <f t="shared" si="9"/>
        <v>127</v>
      </c>
    </row>
    <row r="648" spans="1:6" x14ac:dyDescent="0.25">
      <c r="A648">
        <v>37</v>
      </c>
      <c r="B648">
        <f>CalculateVacation(VLOOKUP(A648,'Employee Data'!A7:P106,16,FALSE),VLOOKUP(A648,'Employee Data'!A7:V106,22,FALSE))</f>
        <v>407.5</v>
      </c>
      <c r="C648">
        <v>28</v>
      </c>
      <c r="D648" s="3">
        <v>43902</v>
      </c>
      <c r="E648" s="3">
        <v>44020</v>
      </c>
      <c r="F648">
        <f t="shared" ref="F648:F711" si="10">B648-C648</f>
        <v>379.5</v>
      </c>
    </row>
    <row r="649" spans="1:6" x14ac:dyDescent="0.25">
      <c r="A649">
        <v>21</v>
      </c>
      <c r="B649">
        <f>CalculateVacation(VLOOKUP(A649,'Employee Data'!A7:P106,16,FALSE),VLOOKUP(A649,'Employee Data'!A7:V106,22,FALSE))</f>
        <v>175.5</v>
      </c>
      <c r="C649">
        <v>12</v>
      </c>
      <c r="D649" s="3">
        <v>43949</v>
      </c>
      <c r="E649" s="3">
        <v>43949</v>
      </c>
      <c r="F649">
        <f t="shared" si="10"/>
        <v>163.5</v>
      </c>
    </row>
    <row r="650" spans="1:6" x14ac:dyDescent="0.25">
      <c r="A650">
        <v>30</v>
      </c>
      <c r="B650">
        <f>CalculateVacation(VLOOKUP(A650,'Employee Data'!A7:P106,16,FALSE),VLOOKUP(A650,'Employee Data'!A7:V106,22,FALSE))</f>
        <v>138</v>
      </c>
      <c r="C650">
        <v>1</v>
      </c>
      <c r="D650" s="3">
        <v>43713</v>
      </c>
      <c r="E650" s="3">
        <v>43722</v>
      </c>
      <c r="F650">
        <f t="shared" si="10"/>
        <v>137</v>
      </c>
    </row>
    <row r="651" spans="1:6" x14ac:dyDescent="0.25">
      <c r="A651">
        <v>51</v>
      </c>
      <c r="B651">
        <f>CalculateVacation(VLOOKUP(A651,'Employee Data'!A7:P106,16,FALSE),VLOOKUP(A651,'Employee Data'!A7:V106,22,FALSE))</f>
        <v>0</v>
      </c>
      <c r="C651">
        <v>15</v>
      </c>
      <c r="D651" s="3">
        <v>43775</v>
      </c>
      <c r="E651" s="3">
        <v>43942</v>
      </c>
      <c r="F651">
        <f t="shared" si="10"/>
        <v>-15</v>
      </c>
    </row>
    <row r="652" spans="1:6" x14ac:dyDescent="0.25">
      <c r="A652">
        <v>16</v>
      </c>
      <c r="B652">
        <f>CalculateVacation(VLOOKUP(A652,'Employee Data'!A7:P106,16,FALSE),VLOOKUP(A652,'Employee Data'!A7:V106,22,FALSE))</f>
        <v>240</v>
      </c>
      <c r="C652">
        <v>9</v>
      </c>
      <c r="D652" s="3">
        <v>43492</v>
      </c>
      <c r="E652" s="3">
        <v>43493</v>
      </c>
      <c r="F652">
        <f t="shared" si="10"/>
        <v>231</v>
      </c>
    </row>
    <row r="653" spans="1:6" x14ac:dyDescent="0.25">
      <c r="A653">
        <v>66</v>
      </c>
      <c r="B653">
        <f>CalculateVacation(VLOOKUP(A653,'Employee Data'!A7:P106,16,FALSE),VLOOKUP(A653,'Employee Data'!A7:V106,22,FALSE))</f>
        <v>0</v>
      </c>
      <c r="C653">
        <v>14</v>
      </c>
      <c r="D653" s="3">
        <v>43826</v>
      </c>
      <c r="E653" s="3">
        <v>43835</v>
      </c>
      <c r="F653">
        <f t="shared" si="10"/>
        <v>-14</v>
      </c>
    </row>
    <row r="654" spans="1:6" x14ac:dyDescent="0.25">
      <c r="A654">
        <v>4</v>
      </c>
      <c r="B654">
        <f>CalculateVacation(VLOOKUP(A654,'Employee Data'!A7:P106,16,FALSE),VLOOKUP(A654,'Employee Data'!A7:V106,22,FALSE))</f>
        <v>242</v>
      </c>
      <c r="C654">
        <v>28</v>
      </c>
      <c r="D654" s="3">
        <v>43561</v>
      </c>
      <c r="E654" s="3">
        <v>43780</v>
      </c>
      <c r="F654">
        <f t="shared" si="10"/>
        <v>214</v>
      </c>
    </row>
    <row r="655" spans="1:6" x14ac:dyDescent="0.25">
      <c r="A655">
        <v>72</v>
      </c>
      <c r="B655">
        <f>CalculateVacation(VLOOKUP(A655,'Employee Data'!A7:P106,16,FALSE),VLOOKUP(A655,'Employee Data'!A7:V106,22,FALSE))</f>
        <v>537</v>
      </c>
      <c r="C655">
        <v>8</v>
      </c>
      <c r="D655" s="3">
        <v>44102</v>
      </c>
      <c r="E655" s="3">
        <v>44109</v>
      </c>
      <c r="F655">
        <f t="shared" si="10"/>
        <v>529</v>
      </c>
    </row>
    <row r="656" spans="1:6" x14ac:dyDescent="0.25">
      <c r="A656">
        <v>23</v>
      </c>
      <c r="B656">
        <f>CalculateVacation(VLOOKUP(A656,'Employee Data'!A7:P106,16,FALSE),VLOOKUP(A656,'Employee Data'!A7:V106,22,FALSE))</f>
        <v>666</v>
      </c>
      <c r="C656">
        <v>19</v>
      </c>
      <c r="D656" s="3">
        <v>44049</v>
      </c>
      <c r="E656" s="3">
        <v>44059</v>
      </c>
      <c r="F656">
        <f t="shared" si="10"/>
        <v>647</v>
      </c>
    </row>
    <row r="657" spans="1:6" x14ac:dyDescent="0.25">
      <c r="A657">
        <v>9</v>
      </c>
      <c r="B657">
        <f>CalculateVacation(VLOOKUP(A657,'Employee Data'!A7:P106,16,FALSE),VLOOKUP(A657,'Employee Data'!A7:V106,22,FALSE))</f>
        <v>36</v>
      </c>
      <c r="C657">
        <v>7</v>
      </c>
      <c r="D657" s="3">
        <v>43727</v>
      </c>
      <c r="E657" s="3">
        <v>43773</v>
      </c>
      <c r="F657">
        <f t="shared" si="10"/>
        <v>29</v>
      </c>
    </row>
    <row r="658" spans="1:6" x14ac:dyDescent="0.25">
      <c r="A658">
        <v>38</v>
      </c>
      <c r="B658">
        <f>CalculateVacation(VLOOKUP(A658,'Employee Data'!A7:P106,16,FALSE),VLOOKUP(A658,'Employee Data'!A7:V106,22,FALSE))</f>
        <v>387.5</v>
      </c>
      <c r="C658">
        <v>11</v>
      </c>
      <c r="D658" s="3">
        <v>44052</v>
      </c>
      <c r="E658" s="3">
        <v>44054</v>
      </c>
      <c r="F658">
        <f t="shared" si="10"/>
        <v>376.5</v>
      </c>
    </row>
    <row r="659" spans="1:6" x14ac:dyDescent="0.25">
      <c r="A659">
        <v>88</v>
      </c>
      <c r="B659">
        <f>CalculateVacation(VLOOKUP(A659,'Employee Data'!A7:P106,16,FALSE),VLOOKUP(A659,'Employee Data'!A7:V106,22,FALSE))</f>
        <v>390</v>
      </c>
      <c r="C659">
        <v>19</v>
      </c>
      <c r="D659" s="3">
        <v>43908</v>
      </c>
      <c r="E659" s="3">
        <v>43918</v>
      </c>
      <c r="F659">
        <f t="shared" si="10"/>
        <v>371</v>
      </c>
    </row>
    <row r="660" spans="1:6" x14ac:dyDescent="0.25">
      <c r="A660">
        <v>82</v>
      </c>
      <c r="B660">
        <f>CalculateVacation(VLOOKUP(A660,'Employee Data'!A7:P106,16,FALSE),VLOOKUP(A660,'Employee Data'!A7:V106,22,FALSE))</f>
        <v>0</v>
      </c>
      <c r="C660">
        <v>7</v>
      </c>
      <c r="D660" s="3">
        <v>43946</v>
      </c>
      <c r="E660" s="3">
        <v>43956</v>
      </c>
      <c r="F660">
        <f t="shared" si="10"/>
        <v>-7</v>
      </c>
    </row>
    <row r="661" spans="1:6" x14ac:dyDescent="0.25">
      <c r="A661">
        <v>47</v>
      </c>
      <c r="B661">
        <f>CalculateVacation(VLOOKUP(A661,'Employee Data'!A7:P106,16,FALSE),VLOOKUP(A661,'Employee Data'!A7:V106,22,FALSE))</f>
        <v>585</v>
      </c>
      <c r="C661">
        <v>20</v>
      </c>
      <c r="D661" s="3">
        <v>44015</v>
      </c>
      <c r="E661" s="3">
        <v>44024</v>
      </c>
      <c r="F661">
        <f t="shared" si="10"/>
        <v>565</v>
      </c>
    </row>
    <row r="662" spans="1:6" x14ac:dyDescent="0.25">
      <c r="A662">
        <v>52</v>
      </c>
      <c r="B662">
        <f>CalculateVacation(VLOOKUP(A662,'Employee Data'!A7:P106,16,FALSE),VLOOKUP(A662,'Employee Data'!A7:V106,22,FALSE))</f>
        <v>8</v>
      </c>
      <c r="C662">
        <v>24</v>
      </c>
      <c r="D662" s="3">
        <v>44103</v>
      </c>
      <c r="E662" s="3">
        <v>44108</v>
      </c>
      <c r="F662">
        <f t="shared" si="10"/>
        <v>-16</v>
      </c>
    </row>
    <row r="663" spans="1:6" x14ac:dyDescent="0.25">
      <c r="A663">
        <v>82</v>
      </c>
      <c r="B663">
        <f>CalculateVacation(VLOOKUP(A663,'Employee Data'!A7:P106,16,FALSE),VLOOKUP(A663,'Employee Data'!A7:V106,22,FALSE))</f>
        <v>0</v>
      </c>
      <c r="C663">
        <v>3</v>
      </c>
      <c r="D663" s="3">
        <v>43974</v>
      </c>
      <c r="E663" s="3">
        <v>43979</v>
      </c>
      <c r="F663">
        <f t="shared" si="10"/>
        <v>-3</v>
      </c>
    </row>
    <row r="664" spans="1:6" x14ac:dyDescent="0.25">
      <c r="A664">
        <v>27</v>
      </c>
      <c r="B664">
        <f>CalculateVacation(VLOOKUP(A664,'Employee Data'!A7:P106,16,FALSE),VLOOKUP(A664,'Employee Data'!A7:V106,22,FALSE))</f>
        <v>0</v>
      </c>
      <c r="C664">
        <v>10</v>
      </c>
      <c r="D664" s="3">
        <v>43818</v>
      </c>
      <c r="E664" s="3">
        <v>43840</v>
      </c>
      <c r="F664">
        <f t="shared" si="10"/>
        <v>-10</v>
      </c>
    </row>
    <row r="665" spans="1:6" x14ac:dyDescent="0.25">
      <c r="A665">
        <v>10</v>
      </c>
      <c r="B665">
        <f>CalculateVacation(VLOOKUP(A665,'Employee Data'!A7:P106,16,FALSE),VLOOKUP(A665,'Employee Data'!A7:V106,22,FALSE))</f>
        <v>150</v>
      </c>
      <c r="C665">
        <v>25</v>
      </c>
      <c r="D665" s="3">
        <v>43967</v>
      </c>
      <c r="E665" s="3">
        <v>43973</v>
      </c>
      <c r="F665">
        <f t="shared" si="10"/>
        <v>125</v>
      </c>
    </row>
    <row r="666" spans="1:6" x14ac:dyDescent="0.25">
      <c r="A666">
        <v>15</v>
      </c>
      <c r="B666">
        <f>CalculateVacation(VLOOKUP(A666,'Employee Data'!A7:P106,16,FALSE),VLOOKUP(A666,'Employee Data'!A7:V106,22,FALSE))</f>
        <v>651</v>
      </c>
      <c r="C666">
        <v>14</v>
      </c>
      <c r="D666" s="3">
        <v>43527</v>
      </c>
      <c r="E666" s="3">
        <v>43680</v>
      </c>
      <c r="F666">
        <f t="shared" si="10"/>
        <v>637</v>
      </c>
    </row>
    <row r="667" spans="1:6" x14ac:dyDescent="0.25">
      <c r="A667">
        <v>54</v>
      </c>
      <c r="B667">
        <f>CalculateVacation(VLOOKUP(A667,'Employee Data'!A7:P106,16,FALSE),VLOOKUP(A667,'Employee Data'!A7:V106,22,FALSE))</f>
        <v>145.5</v>
      </c>
      <c r="C667">
        <v>25</v>
      </c>
      <c r="D667" s="3">
        <v>43625</v>
      </c>
      <c r="E667" s="3">
        <v>43991</v>
      </c>
      <c r="F667">
        <f t="shared" si="10"/>
        <v>120.5</v>
      </c>
    </row>
    <row r="668" spans="1:6" x14ac:dyDescent="0.25">
      <c r="A668">
        <v>21</v>
      </c>
      <c r="B668">
        <f>CalculateVacation(VLOOKUP(A668,'Employee Data'!A7:P106,16,FALSE),VLOOKUP(A668,'Employee Data'!A7:V106,22,FALSE))</f>
        <v>175.5</v>
      </c>
      <c r="C668">
        <v>28</v>
      </c>
      <c r="D668" s="3">
        <v>43746</v>
      </c>
      <c r="E668" s="3">
        <v>44042</v>
      </c>
      <c r="F668">
        <f t="shared" si="10"/>
        <v>147.5</v>
      </c>
    </row>
    <row r="669" spans="1:6" x14ac:dyDescent="0.25">
      <c r="A669">
        <v>96</v>
      </c>
      <c r="B669">
        <f>CalculateVacation(VLOOKUP(A669,'Employee Data'!A7:P106,16,FALSE),VLOOKUP(A669,'Employee Data'!A7:V106,22,FALSE))</f>
        <v>0</v>
      </c>
      <c r="C669">
        <v>4</v>
      </c>
      <c r="D669" s="3">
        <v>44001</v>
      </c>
      <c r="E669" s="3">
        <v>44002</v>
      </c>
      <c r="F669">
        <f t="shared" si="10"/>
        <v>-4</v>
      </c>
    </row>
    <row r="670" spans="1:6" x14ac:dyDescent="0.25">
      <c r="A670">
        <v>42</v>
      </c>
      <c r="B670">
        <f>CalculateVacation(VLOOKUP(A670,'Employee Data'!A7:P106,16,FALSE),VLOOKUP(A670,'Employee Data'!A7:V106,22,FALSE))</f>
        <v>669</v>
      </c>
      <c r="C670">
        <v>29</v>
      </c>
      <c r="D670" s="3">
        <v>43703</v>
      </c>
      <c r="E670" s="3">
        <v>43800</v>
      </c>
      <c r="F670">
        <f t="shared" si="10"/>
        <v>640</v>
      </c>
    </row>
    <row r="671" spans="1:6" x14ac:dyDescent="0.25">
      <c r="A671">
        <v>65</v>
      </c>
      <c r="B671">
        <f>CalculateVacation(VLOOKUP(A671,'Employee Data'!A7:P106,16,FALSE),VLOOKUP(A671,'Employee Data'!A7:V106,22,FALSE))</f>
        <v>112.5</v>
      </c>
      <c r="C671">
        <v>19</v>
      </c>
      <c r="D671" s="3">
        <v>43565</v>
      </c>
      <c r="E671" s="3">
        <v>43574</v>
      </c>
      <c r="F671">
        <f t="shared" si="10"/>
        <v>93.5</v>
      </c>
    </row>
    <row r="672" spans="1:6" x14ac:dyDescent="0.25">
      <c r="A672">
        <v>31</v>
      </c>
      <c r="B672">
        <f>CalculateVacation(VLOOKUP(A672,'Employee Data'!A7:P106,16,FALSE),VLOOKUP(A672,'Employee Data'!A7:V106,22,FALSE))</f>
        <v>570</v>
      </c>
      <c r="C672">
        <v>30</v>
      </c>
      <c r="D672" s="3">
        <v>44032</v>
      </c>
      <c r="E672" s="3">
        <v>44035</v>
      </c>
      <c r="F672">
        <f t="shared" si="10"/>
        <v>540</v>
      </c>
    </row>
    <row r="673" spans="1:6" x14ac:dyDescent="0.25">
      <c r="A673">
        <v>70</v>
      </c>
      <c r="B673">
        <f>CalculateVacation(VLOOKUP(A673,'Employee Data'!A7:P106,16,FALSE),VLOOKUP(A673,'Employee Data'!A7:V106,22,FALSE))</f>
        <v>543</v>
      </c>
      <c r="C673">
        <v>17</v>
      </c>
      <c r="D673" s="3">
        <v>43908</v>
      </c>
      <c r="E673" s="3">
        <v>44046</v>
      </c>
      <c r="F673">
        <f t="shared" si="10"/>
        <v>526</v>
      </c>
    </row>
    <row r="674" spans="1:6" x14ac:dyDescent="0.25">
      <c r="A674">
        <v>36</v>
      </c>
      <c r="B674">
        <f>CalculateVacation(VLOOKUP(A674,'Employee Data'!A7:P106,16,FALSE),VLOOKUP(A674,'Employee Data'!A7:V106,22,FALSE))</f>
        <v>675</v>
      </c>
      <c r="C674">
        <v>12</v>
      </c>
      <c r="D674" s="3">
        <v>43512</v>
      </c>
      <c r="E674" s="3">
        <v>43528</v>
      </c>
      <c r="F674">
        <f t="shared" si="10"/>
        <v>663</v>
      </c>
    </row>
    <row r="675" spans="1:6" x14ac:dyDescent="0.25">
      <c r="A675">
        <v>99</v>
      </c>
      <c r="B675">
        <f>CalculateVacation(VLOOKUP(A675,'Employee Data'!A7:P106,16,FALSE),VLOOKUP(A675,'Employee Data'!A7:V106,22,FALSE))</f>
        <v>564</v>
      </c>
      <c r="C675">
        <v>1</v>
      </c>
      <c r="D675" s="3">
        <v>44035</v>
      </c>
      <c r="E675" s="3">
        <v>44045</v>
      </c>
      <c r="F675">
        <f t="shared" si="10"/>
        <v>563</v>
      </c>
    </row>
    <row r="676" spans="1:6" x14ac:dyDescent="0.25">
      <c r="A676">
        <v>36</v>
      </c>
      <c r="B676">
        <f>CalculateVacation(VLOOKUP(A676,'Employee Data'!A7:P106,16,FALSE),VLOOKUP(A676,'Employee Data'!A7:V106,22,FALSE))</f>
        <v>675</v>
      </c>
      <c r="C676">
        <v>3</v>
      </c>
      <c r="D676" s="3">
        <v>43742</v>
      </c>
      <c r="E676" s="3">
        <v>44007</v>
      </c>
      <c r="F676">
        <f t="shared" si="10"/>
        <v>672</v>
      </c>
    </row>
    <row r="677" spans="1:6" x14ac:dyDescent="0.25">
      <c r="A677">
        <v>93</v>
      </c>
      <c r="B677">
        <f>CalculateVacation(VLOOKUP(A677,'Employee Data'!A7:P106,16,FALSE),VLOOKUP(A677,'Employee Data'!A7:V106,22,FALSE))</f>
        <v>151.5</v>
      </c>
      <c r="C677">
        <v>21</v>
      </c>
      <c r="D677" s="3">
        <v>43601</v>
      </c>
      <c r="E677" s="3">
        <v>43733</v>
      </c>
      <c r="F677">
        <f t="shared" si="10"/>
        <v>130.5</v>
      </c>
    </row>
    <row r="678" spans="1:6" x14ac:dyDescent="0.25">
      <c r="A678">
        <v>29</v>
      </c>
      <c r="B678">
        <f>CalculateVacation(VLOOKUP(A678,'Employee Data'!A7:P106,16,FALSE),VLOOKUP(A678,'Employee Data'!A7:V106,22,FALSE))</f>
        <v>412.5</v>
      </c>
      <c r="C678">
        <v>25</v>
      </c>
      <c r="D678" s="3">
        <v>44065</v>
      </c>
      <c r="E678" s="3">
        <v>44069</v>
      </c>
      <c r="F678">
        <f t="shared" si="10"/>
        <v>387.5</v>
      </c>
    </row>
    <row r="679" spans="1:6" x14ac:dyDescent="0.25">
      <c r="A679">
        <v>63</v>
      </c>
      <c r="B679">
        <f>CalculateVacation(VLOOKUP(A679,'Employee Data'!A7:P106,16,FALSE),VLOOKUP(A679,'Employee Data'!A7:V106,22,FALSE))</f>
        <v>246</v>
      </c>
      <c r="C679">
        <v>4</v>
      </c>
      <c r="D679" s="3">
        <v>43801</v>
      </c>
      <c r="E679" s="3">
        <v>43806</v>
      </c>
      <c r="F679">
        <f t="shared" si="10"/>
        <v>242</v>
      </c>
    </row>
    <row r="680" spans="1:6" x14ac:dyDescent="0.25">
      <c r="A680">
        <v>29</v>
      </c>
      <c r="B680">
        <f>CalculateVacation(VLOOKUP(A680,'Employee Data'!A7:P106,16,FALSE),VLOOKUP(A680,'Employee Data'!A7:V106,22,FALSE))</f>
        <v>412.5</v>
      </c>
      <c r="C680">
        <v>23</v>
      </c>
      <c r="D680" s="3">
        <v>43867</v>
      </c>
      <c r="E680" s="3">
        <v>43944</v>
      </c>
      <c r="F680">
        <f t="shared" si="10"/>
        <v>389.5</v>
      </c>
    </row>
    <row r="681" spans="1:6" x14ac:dyDescent="0.25">
      <c r="A681">
        <v>66</v>
      </c>
      <c r="B681">
        <f>CalculateVacation(VLOOKUP(A681,'Employee Data'!A7:P106,16,FALSE),VLOOKUP(A681,'Employee Data'!A7:V106,22,FALSE))</f>
        <v>0</v>
      </c>
      <c r="C681">
        <v>10</v>
      </c>
      <c r="D681" s="3">
        <v>43825</v>
      </c>
      <c r="E681" s="3">
        <v>43946</v>
      </c>
      <c r="F681">
        <f t="shared" si="10"/>
        <v>-10</v>
      </c>
    </row>
    <row r="682" spans="1:6" x14ac:dyDescent="0.25">
      <c r="A682">
        <v>89</v>
      </c>
      <c r="B682">
        <f>CalculateVacation(VLOOKUP(A682,'Employee Data'!A7:P106,16,FALSE),VLOOKUP(A682,'Employee Data'!A7:V106,22,FALSE))</f>
        <v>126</v>
      </c>
      <c r="C682">
        <v>9</v>
      </c>
      <c r="D682" s="3">
        <v>44101</v>
      </c>
      <c r="E682" s="3">
        <v>44106</v>
      </c>
      <c r="F682">
        <f t="shared" si="10"/>
        <v>117</v>
      </c>
    </row>
    <row r="683" spans="1:6" x14ac:dyDescent="0.25">
      <c r="A683">
        <v>47</v>
      </c>
      <c r="B683">
        <f>CalculateVacation(VLOOKUP(A683,'Employee Data'!A7:P106,16,FALSE),VLOOKUP(A683,'Employee Data'!A7:V106,22,FALSE))</f>
        <v>585</v>
      </c>
      <c r="C683">
        <v>15</v>
      </c>
      <c r="D683" s="3">
        <v>43737</v>
      </c>
      <c r="E683" s="3">
        <v>43967</v>
      </c>
      <c r="F683">
        <f t="shared" si="10"/>
        <v>570</v>
      </c>
    </row>
    <row r="684" spans="1:6" x14ac:dyDescent="0.25">
      <c r="A684">
        <v>13</v>
      </c>
      <c r="B684">
        <f>CalculateVacation(VLOOKUP(A684,'Employee Data'!A7:P106,16,FALSE),VLOOKUP(A684,'Employee Data'!A7:V106,22,FALSE))</f>
        <v>633</v>
      </c>
      <c r="C684">
        <v>27</v>
      </c>
      <c r="D684" s="3">
        <v>43915</v>
      </c>
      <c r="E684" s="3">
        <v>44030</v>
      </c>
      <c r="F684">
        <f t="shared" si="10"/>
        <v>606</v>
      </c>
    </row>
    <row r="685" spans="1:6" x14ac:dyDescent="0.25">
      <c r="A685">
        <v>92</v>
      </c>
      <c r="B685">
        <f>CalculateVacation(VLOOKUP(A685,'Employee Data'!A7:P106,16,FALSE),VLOOKUP(A685,'Employee Data'!A7:V106,22,FALSE))</f>
        <v>112.5</v>
      </c>
      <c r="C685">
        <v>10</v>
      </c>
      <c r="D685" s="3">
        <v>43555</v>
      </c>
      <c r="E685" s="3">
        <v>43685</v>
      </c>
      <c r="F685">
        <f t="shared" si="10"/>
        <v>102.5</v>
      </c>
    </row>
    <row r="686" spans="1:6" x14ac:dyDescent="0.25">
      <c r="A686">
        <v>25</v>
      </c>
      <c r="B686">
        <f>CalculateVacation(VLOOKUP(A686,'Employee Data'!A7:P106,16,FALSE),VLOOKUP(A686,'Employee Data'!A7:V106,22,FALSE))</f>
        <v>52</v>
      </c>
      <c r="C686">
        <v>29</v>
      </c>
      <c r="D686" s="3">
        <v>43773</v>
      </c>
      <c r="E686" s="3">
        <v>43783</v>
      </c>
      <c r="F686">
        <f t="shared" si="10"/>
        <v>23</v>
      </c>
    </row>
    <row r="687" spans="1:6" x14ac:dyDescent="0.25">
      <c r="A687">
        <v>35</v>
      </c>
      <c r="B687">
        <f>CalculateVacation(VLOOKUP(A687,'Employee Data'!A7:P106,16,FALSE),VLOOKUP(A687,'Employee Data'!A7:V106,22,FALSE))</f>
        <v>555</v>
      </c>
      <c r="C687">
        <v>14</v>
      </c>
      <c r="D687" s="3">
        <v>43583</v>
      </c>
      <c r="E687" s="3">
        <v>43584</v>
      </c>
      <c r="F687">
        <f t="shared" si="10"/>
        <v>541</v>
      </c>
    </row>
    <row r="688" spans="1:6" x14ac:dyDescent="0.25">
      <c r="A688">
        <v>26</v>
      </c>
      <c r="B688">
        <f>CalculateVacation(VLOOKUP(A688,'Employee Data'!A7:P106,16,FALSE),VLOOKUP(A688,'Employee Data'!A7:V106,22,FALSE))</f>
        <v>12.75</v>
      </c>
      <c r="C688">
        <v>18</v>
      </c>
      <c r="D688" s="3">
        <v>44091</v>
      </c>
      <c r="E688" s="3">
        <v>44093</v>
      </c>
      <c r="F688">
        <f t="shared" si="10"/>
        <v>-5.25</v>
      </c>
    </row>
    <row r="689" spans="1:6" x14ac:dyDescent="0.25">
      <c r="A689">
        <v>86</v>
      </c>
      <c r="B689">
        <f>CalculateVacation(VLOOKUP(A689,'Employee Data'!A7:P106,16,FALSE),VLOOKUP(A689,'Employee Data'!A7:V106,22,FALSE))</f>
        <v>618</v>
      </c>
      <c r="C689">
        <v>1</v>
      </c>
      <c r="D689" s="3">
        <v>43858</v>
      </c>
      <c r="E689" s="3">
        <v>43894</v>
      </c>
      <c r="F689">
        <f t="shared" si="10"/>
        <v>617</v>
      </c>
    </row>
    <row r="690" spans="1:6" x14ac:dyDescent="0.25">
      <c r="A690">
        <v>50</v>
      </c>
      <c r="B690">
        <f>CalculateVacation(VLOOKUP(A690,'Employee Data'!A7:P106,16,FALSE),VLOOKUP(A690,'Employee Data'!A7:V106,22,FALSE))</f>
        <v>144</v>
      </c>
      <c r="C690">
        <v>19</v>
      </c>
      <c r="D690" s="3">
        <v>44083</v>
      </c>
      <c r="E690" s="3">
        <v>44091</v>
      </c>
      <c r="F690">
        <f t="shared" si="10"/>
        <v>125</v>
      </c>
    </row>
    <row r="691" spans="1:6" x14ac:dyDescent="0.25">
      <c r="A691">
        <v>77</v>
      </c>
      <c r="B691">
        <f>CalculateVacation(VLOOKUP(A691,'Employee Data'!A7:P106,16,FALSE),VLOOKUP(A691,'Employee Data'!A7:V106,22,FALSE))</f>
        <v>437.5</v>
      </c>
      <c r="C691">
        <v>29</v>
      </c>
      <c r="D691" s="3">
        <v>43912</v>
      </c>
      <c r="E691" s="3">
        <v>43916</v>
      </c>
      <c r="F691">
        <f t="shared" si="10"/>
        <v>408.5</v>
      </c>
    </row>
    <row r="692" spans="1:6" x14ac:dyDescent="0.25">
      <c r="A692">
        <v>69</v>
      </c>
      <c r="B692">
        <f>CalculateVacation(VLOOKUP(A692,'Employee Data'!A7:P106,16,FALSE),VLOOKUP(A692,'Employee Data'!A7:V106,22,FALSE))</f>
        <v>250</v>
      </c>
      <c r="C692">
        <v>15</v>
      </c>
      <c r="D692" s="3">
        <v>43541</v>
      </c>
      <c r="E692" s="3">
        <v>43980</v>
      </c>
      <c r="F692">
        <f t="shared" si="10"/>
        <v>235</v>
      </c>
    </row>
    <row r="693" spans="1:6" x14ac:dyDescent="0.25">
      <c r="A693">
        <v>29</v>
      </c>
      <c r="B693">
        <f>CalculateVacation(VLOOKUP(A693,'Employee Data'!A7:P106,16,FALSE),VLOOKUP(A693,'Employee Data'!A7:V106,22,FALSE))</f>
        <v>412.5</v>
      </c>
      <c r="C693">
        <v>13</v>
      </c>
      <c r="D693" s="3">
        <v>43470</v>
      </c>
      <c r="E693" s="3">
        <v>43733</v>
      </c>
      <c r="F693">
        <f t="shared" si="10"/>
        <v>399.5</v>
      </c>
    </row>
    <row r="694" spans="1:6" x14ac:dyDescent="0.25">
      <c r="A694">
        <v>33</v>
      </c>
      <c r="B694">
        <f>CalculateVacation(VLOOKUP(A694,'Employee Data'!A7:P106,16,FALSE),VLOOKUP(A694,'Employee Data'!A7:V106,22,FALSE))</f>
        <v>437.5</v>
      </c>
      <c r="C694">
        <v>23</v>
      </c>
      <c r="D694" s="3">
        <v>43894</v>
      </c>
      <c r="E694" s="3">
        <v>43900</v>
      </c>
      <c r="F694">
        <f t="shared" si="10"/>
        <v>414.5</v>
      </c>
    </row>
    <row r="695" spans="1:6" x14ac:dyDescent="0.25">
      <c r="A695">
        <v>53</v>
      </c>
      <c r="B695">
        <f>CalculateVacation(VLOOKUP(A695,'Employee Data'!A7:P106,16,FALSE),VLOOKUP(A695,'Employee Data'!A7:V106,22,FALSE))</f>
        <v>630</v>
      </c>
      <c r="C695">
        <v>13</v>
      </c>
      <c r="D695" s="3">
        <v>43798</v>
      </c>
      <c r="E695" s="3">
        <v>43799</v>
      </c>
      <c r="F695">
        <f t="shared" si="10"/>
        <v>617</v>
      </c>
    </row>
    <row r="696" spans="1:6" x14ac:dyDescent="0.25">
      <c r="A696">
        <v>31</v>
      </c>
      <c r="B696">
        <f>CalculateVacation(VLOOKUP(A696,'Employee Data'!A7:P106,16,FALSE),VLOOKUP(A696,'Employee Data'!A7:V106,22,FALSE))</f>
        <v>570</v>
      </c>
      <c r="C696">
        <v>19</v>
      </c>
      <c r="D696" s="3">
        <v>43533</v>
      </c>
      <c r="E696" s="3">
        <v>43806</v>
      </c>
      <c r="F696">
        <f t="shared" si="10"/>
        <v>551</v>
      </c>
    </row>
    <row r="697" spans="1:6" x14ac:dyDescent="0.25">
      <c r="A697">
        <v>8</v>
      </c>
      <c r="B697">
        <f>CalculateVacation(VLOOKUP(A697,'Employee Data'!A7:P106,16,FALSE),VLOOKUP(A697,'Employee Data'!A7:V106,22,FALSE))</f>
        <v>588</v>
      </c>
      <c r="C697">
        <v>23</v>
      </c>
      <c r="D697" s="3">
        <v>43774</v>
      </c>
      <c r="E697" s="3">
        <v>43894</v>
      </c>
      <c r="F697">
        <f t="shared" si="10"/>
        <v>565</v>
      </c>
    </row>
    <row r="698" spans="1:6" x14ac:dyDescent="0.25">
      <c r="A698">
        <v>26</v>
      </c>
      <c r="B698">
        <f>CalculateVacation(VLOOKUP(A698,'Employee Data'!A7:P106,16,FALSE),VLOOKUP(A698,'Employee Data'!A7:V106,22,FALSE))</f>
        <v>12.75</v>
      </c>
      <c r="C698">
        <v>29</v>
      </c>
      <c r="D698" s="3">
        <v>43545</v>
      </c>
      <c r="E698" s="3">
        <v>44076</v>
      </c>
      <c r="F698">
        <f t="shared" si="10"/>
        <v>-16.25</v>
      </c>
    </row>
    <row r="699" spans="1:6" x14ac:dyDescent="0.25">
      <c r="A699">
        <v>67</v>
      </c>
      <c r="B699">
        <f>CalculateVacation(VLOOKUP(A699,'Employee Data'!A7:P106,16,FALSE),VLOOKUP(A699,'Employee Data'!A7:V106,22,FALSE))</f>
        <v>20</v>
      </c>
      <c r="C699">
        <v>19</v>
      </c>
      <c r="D699" s="3">
        <v>43711</v>
      </c>
      <c r="E699" s="3">
        <v>43773</v>
      </c>
      <c r="F699">
        <f t="shared" si="10"/>
        <v>1</v>
      </c>
    </row>
    <row r="700" spans="1:6" x14ac:dyDescent="0.25">
      <c r="A700">
        <v>32</v>
      </c>
      <c r="B700">
        <f>CalculateVacation(VLOOKUP(A700,'Employee Data'!A7:P106,16,FALSE),VLOOKUP(A700,'Employee Data'!A7:V106,22,FALSE))</f>
        <v>238</v>
      </c>
      <c r="C700">
        <v>4</v>
      </c>
      <c r="D700" s="3">
        <v>43482</v>
      </c>
      <c r="E700" s="3">
        <v>44036</v>
      </c>
      <c r="F700">
        <f t="shared" si="10"/>
        <v>234</v>
      </c>
    </row>
    <row r="701" spans="1:6" x14ac:dyDescent="0.25">
      <c r="A701">
        <v>10</v>
      </c>
      <c r="B701">
        <f>CalculateVacation(VLOOKUP(A701,'Employee Data'!A7:P106,16,FALSE),VLOOKUP(A701,'Employee Data'!A7:V106,22,FALSE))</f>
        <v>150</v>
      </c>
      <c r="C701">
        <v>27</v>
      </c>
      <c r="D701" s="3">
        <v>43918</v>
      </c>
      <c r="E701" s="3">
        <v>43926</v>
      </c>
      <c r="F701">
        <f t="shared" si="10"/>
        <v>123</v>
      </c>
    </row>
    <row r="702" spans="1:6" x14ac:dyDescent="0.25">
      <c r="A702">
        <v>60</v>
      </c>
      <c r="B702">
        <f>CalculateVacation(VLOOKUP(A702,'Employee Data'!A7:P106,16,FALSE),VLOOKUP(A702,'Employee Data'!A7:V106,22,FALSE))</f>
        <v>0</v>
      </c>
      <c r="C702">
        <v>8</v>
      </c>
      <c r="D702" s="3">
        <v>44091</v>
      </c>
      <c r="E702" s="3">
        <v>44097</v>
      </c>
      <c r="F702">
        <f t="shared" si="10"/>
        <v>-8</v>
      </c>
    </row>
    <row r="703" spans="1:6" x14ac:dyDescent="0.25">
      <c r="A703">
        <v>92</v>
      </c>
      <c r="B703">
        <f>CalculateVacation(VLOOKUP(A703,'Employee Data'!A7:P106,16,FALSE),VLOOKUP(A703,'Employee Data'!A7:V106,22,FALSE))</f>
        <v>112.5</v>
      </c>
      <c r="C703">
        <v>30</v>
      </c>
      <c r="D703" s="3">
        <v>43992</v>
      </c>
      <c r="E703" s="3">
        <v>44021</v>
      </c>
      <c r="F703">
        <f t="shared" si="10"/>
        <v>82.5</v>
      </c>
    </row>
    <row r="704" spans="1:6" x14ac:dyDescent="0.25">
      <c r="A704">
        <v>38</v>
      </c>
      <c r="B704">
        <f>CalculateVacation(VLOOKUP(A704,'Employee Data'!A7:P106,16,FALSE),VLOOKUP(A704,'Employee Data'!A7:V106,22,FALSE))</f>
        <v>387.5</v>
      </c>
      <c r="C704">
        <v>2</v>
      </c>
      <c r="D704" s="3">
        <v>43904</v>
      </c>
      <c r="E704" s="3">
        <v>43908</v>
      </c>
      <c r="F704">
        <f t="shared" si="10"/>
        <v>385.5</v>
      </c>
    </row>
    <row r="705" spans="1:6" x14ac:dyDescent="0.25">
      <c r="A705">
        <v>58</v>
      </c>
      <c r="B705">
        <f>CalculateVacation(VLOOKUP(A705,'Employee Data'!A7:P106,16,FALSE),VLOOKUP(A705,'Employee Data'!A7:V106,22,FALSE))</f>
        <v>114</v>
      </c>
      <c r="C705">
        <v>27</v>
      </c>
      <c r="D705" s="3">
        <v>43687</v>
      </c>
      <c r="E705" s="3">
        <v>43794</v>
      </c>
      <c r="F705">
        <f t="shared" si="10"/>
        <v>87</v>
      </c>
    </row>
    <row r="706" spans="1:6" x14ac:dyDescent="0.25">
      <c r="A706">
        <v>44</v>
      </c>
      <c r="B706">
        <f>CalculateVacation(VLOOKUP(A706,'Employee Data'!A7:P106,16,FALSE),VLOOKUP(A706,'Employee Data'!A7:V106,22,FALSE))</f>
        <v>432.5</v>
      </c>
      <c r="C706">
        <v>27</v>
      </c>
      <c r="D706" s="3">
        <v>43610</v>
      </c>
      <c r="E706" s="3">
        <v>44053</v>
      </c>
      <c r="F706">
        <f t="shared" si="10"/>
        <v>405.5</v>
      </c>
    </row>
    <row r="707" spans="1:6" x14ac:dyDescent="0.25">
      <c r="A707">
        <v>92</v>
      </c>
      <c r="B707">
        <f>CalculateVacation(VLOOKUP(A707,'Employee Data'!A7:P106,16,FALSE),VLOOKUP(A707,'Employee Data'!A7:V106,22,FALSE))</f>
        <v>112.5</v>
      </c>
      <c r="C707">
        <v>3</v>
      </c>
      <c r="D707" s="3">
        <v>43984</v>
      </c>
      <c r="E707" s="3">
        <v>43985</v>
      </c>
      <c r="F707">
        <f t="shared" si="10"/>
        <v>109.5</v>
      </c>
    </row>
    <row r="708" spans="1:6" x14ac:dyDescent="0.25">
      <c r="A708">
        <v>2</v>
      </c>
      <c r="B708">
        <f>CalculateVacation(VLOOKUP(A708,'Employee Data'!A7:P106,16,FALSE),VLOOKUP(A708,'Employee Data'!A7:V106,22,FALSE))</f>
        <v>130.5</v>
      </c>
      <c r="C708">
        <v>4</v>
      </c>
      <c r="D708" s="3">
        <v>43968</v>
      </c>
      <c r="E708" s="3">
        <v>43971</v>
      </c>
      <c r="F708">
        <f t="shared" si="10"/>
        <v>126.5</v>
      </c>
    </row>
    <row r="709" spans="1:6" x14ac:dyDescent="0.25">
      <c r="A709">
        <v>98</v>
      </c>
      <c r="B709">
        <f>CalculateVacation(VLOOKUP(A709,'Employee Data'!A7:P106,16,FALSE),VLOOKUP(A709,'Employee Data'!A7:V106,22,FALSE))</f>
        <v>648</v>
      </c>
      <c r="C709">
        <v>9</v>
      </c>
      <c r="D709" s="3">
        <v>43886</v>
      </c>
      <c r="E709" s="3">
        <v>43894</v>
      </c>
      <c r="F709">
        <f t="shared" si="10"/>
        <v>639</v>
      </c>
    </row>
    <row r="710" spans="1:6" x14ac:dyDescent="0.25">
      <c r="A710">
        <v>61</v>
      </c>
      <c r="B710">
        <f>CalculateVacation(VLOOKUP(A710,'Employee Data'!A7:P106,16,FALSE),VLOOKUP(A710,'Employee Data'!A7:V106,22,FALSE))</f>
        <v>126</v>
      </c>
      <c r="C710">
        <v>9</v>
      </c>
      <c r="D710" s="3">
        <v>43641</v>
      </c>
      <c r="E710" s="3">
        <v>43644</v>
      </c>
      <c r="F710">
        <f t="shared" si="10"/>
        <v>117</v>
      </c>
    </row>
    <row r="711" spans="1:6" x14ac:dyDescent="0.25">
      <c r="A711">
        <v>3</v>
      </c>
      <c r="B711">
        <f>CalculateVacation(VLOOKUP(A711,'Employee Data'!A7:P106,16,FALSE),VLOOKUP(A711,'Employee Data'!A7:V106,22,FALSE))</f>
        <v>238</v>
      </c>
      <c r="C711">
        <v>29</v>
      </c>
      <c r="D711" s="3">
        <v>43702</v>
      </c>
      <c r="E711" s="3">
        <v>43773</v>
      </c>
      <c r="F711">
        <f t="shared" si="10"/>
        <v>209</v>
      </c>
    </row>
    <row r="712" spans="1:6" x14ac:dyDescent="0.25">
      <c r="A712">
        <v>5</v>
      </c>
      <c r="B712">
        <f>CalculateVacation(VLOOKUP(A712,'Employee Data'!A7:P106,16,FALSE),VLOOKUP(A712,'Employee Data'!A7:V106,22,FALSE))</f>
        <v>417.5</v>
      </c>
      <c r="C712">
        <v>9</v>
      </c>
      <c r="D712" s="3">
        <v>43817</v>
      </c>
      <c r="E712" s="3">
        <v>43876</v>
      </c>
      <c r="F712">
        <f t="shared" ref="F712:F775" si="11">B712-C712</f>
        <v>408.5</v>
      </c>
    </row>
    <row r="713" spans="1:6" x14ac:dyDescent="0.25">
      <c r="A713">
        <v>46</v>
      </c>
      <c r="B713">
        <f>CalculateVacation(VLOOKUP(A713,'Employee Data'!A7:P106,16,FALSE),VLOOKUP(A713,'Employee Data'!A7:V106,22,FALSE))</f>
        <v>50</v>
      </c>
      <c r="C713">
        <v>3</v>
      </c>
      <c r="D713" s="3">
        <v>44058</v>
      </c>
      <c r="E713" s="3">
        <v>44064</v>
      </c>
      <c r="F713">
        <f t="shared" si="11"/>
        <v>47</v>
      </c>
    </row>
    <row r="714" spans="1:6" x14ac:dyDescent="0.25">
      <c r="A714">
        <v>18</v>
      </c>
      <c r="B714">
        <f>CalculateVacation(VLOOKUP(A714,'Employee Data'!A7:P106,16,FALSE),VLOOKUP(A714,'Employee Data'!A7:V106,22,FALSE))</f>
        <v>603</v>
      </c>
      <c r="C714">
        <v>7</v>
      </c>
      <c r="D714" s="3">
        <v>43649</v>
      </c>
      <c r="E714" s="3">
        <v>43911</v>
      </c>
      <c r="F714">
        <f t="shared" si="11"/>
        <v>596</v>
      </c>
    </row>
    <row r="715" spans="1:6" x14ac:dyDescent="0.25">
      <c r="A715">
        <v>48</v>
      </c>
      <c r="B715">
        <f>CalculateVacation(VLOOKUP(A715,'Employee Data'!A7:P106,16,FALSE),VLOOKUP(A715,'Employee Data'!A7:V106,22,FALSE))</f>
        <v>174</v>
      </c>
      <c r="C715">
        <v>22</v>
      </c>
      <c r="D715" s="3">
        <v>43961</v>
      </c>
      <c r="E715" s="3">
        <v>43971</v>
      </c>
      <c r="F715">
        <f t="shared" si="11"/>
        <v>152</v>
      </c>
    </row>
    <row r="716" spans="1:6" x14ac:dyDescent="0.25">
      <c r="A716">
        <v>79</v>
      </c>
      <c r="B716">
        <f>CalculateVacation(VLOOKUP(A716,'Employee Data'!A7:P106,16,FALSE),VLOOKUP(A716,'Employee Data'!A7:V106,22,FALSE))</f>
        <v>543</v>
      </c>
      <c r="C716">
        <v>15</v>
      </c>
      <c r="D716" s="3">
        <v>43529</v>
      </c>
      <c r="E716" s="3">
        <v>43809</v>
      </c>
      <c r="F716">
        <f t="shared" si="11"/>
        <v>528</v>
      </c>
    </row>
    <row r="717" spans="1:6" x14ac:dyDescent="0.25">
      <c r="A717">
        <v>9</v>
      </c>
      <c r="B717">
        <f>CalculateVacation(VLOOKUP(A717,'Employee Data'!A7:P106,16,FALSE),VLOOKUP(A717,'Employee Data'!A7:V106,22,FALSE))</f>
        <v>36</v>
      </c>
      <c r="C717">
        <v>2</v>
      </c>
      <c r="D717" s="3">
        <v>44085</v>
      </c>
      <c r="E717" s="3">
        <v>44090</v>
      </c>
      <c r="F717">
        <f t="shared" si="11"/>
        <v>34</v>
      </c>
    </row>
    <row r="718" spans="1:6" x14ac:dyDescent="0.25">
      <c r="A718">
        <v>7</v>
      </c>
      <c r="B718">
        <f>CalculateVacation(VLOOKUP(A718,'Employee Data'!A7:P106,16,FALSE),VLOOKUP(A718,'Employee Data'!A7:V106,22,FALSE))</f>
        <v>642</v>
      </c>
      <c r="C718">
        <v>30</v>
      </c>
      <c r="D718" s="3">
        <v>43707</v>
      </c>
      <c r="E718" s="3">
        <v>43717</v>
      </c>
      <c r="F718">
        <f t="shared" si="11"/>
        <v>612</v>
      </c>
    </row>
    <row r="719" spans="1:6" x14ac:dyDescent="0.25">
      <c r="A719">
        <v>38</v>
      </c>
      <c r="B719">
        <f>CalculateVacation(VLOOKUP(A719,'Employee Data'!A7:P106,16,FALSE),VLOOKUP(A719,'Employee Data'!A7:V106,22,FALSE))</f>
        <v>387.5</v>
      </c>
      <c r="C719">
        <v>28</v>
      </c>
      <c r="D719" s="3">
        <v>44004</v>
      </c>
      <c r="E719" s="3">
        <v>44014</v>
      </c>
      <c r="F719">
        <f t="shared" si="11"/>
        <v>359.5</v>
      </c>
    </row>
    <row r="720" spans="1:6" x14ac:dyDescent="0.25">
      <c r="A720">
        <v>79</v>
      </c>
      <c r="B720">
        <f>CalculateVacation(VLOOKUP(A720,'Employee Data'!A7:P106,16,FALSE),VLOOKUP(A720,'Employee Data'!A7:V106,22,FALSE))</f>
        <v>543</v>
      </c>
      <c r="C720">
        <v>20</v>
      </c>
      <c r="D720" s="3">
        <v>43542</v>
      </c>
      <c r="E720" s="3">
        <v>43549</v>
      </c>
      <c r="F720">
        <f t="shared" si="11"/>
        <v>523</v>
      </c>
    </row>
    <row r="721" spans="1:6" x14ac:dyDescent="0.25">
      <c r="A721">
        <v>24</v>
      </c>
      <c r="B721">
        <f>CalculateVacation(VLOOKUP(A721,'Employee Data'!A7:P106,16,FALSE),VLOOKUP(A721,'Employee Data'!A7:V106,22,FALSE))</f>
        <v>432.5</v>
      </c>
      <c r="C721">
        <v>29</v>
      </c>
      <c r="D721" s="3">
        <v>43890</v>
      </c>
      <c r="E721" s="3">
        <v>43900</v>
      </c>
      <c r="F721">
        <f t="shared" si="11"/>
        <v>403.5</v>
      </c>
    </row>
    <row r="722" spans="1:6" x14ac:dyDescent="0.25">
      <c r="A722">
        <v>19</v>
      </c>
      <c r="B722">
        <f>CalculateVacation(VLOOKUP(A722,'Employee Data'!A7:P106,16,FALSE),VLOOKUP(A722,'Employee Data'!A7:V106,22,FALSE))</f>
        <v>13</v>
      </c>
      <c r="C722">
        <v>25</v>
      </c>
      <c r="D722" s="3">
        <v>43576</v>
      </c>
      <c r="E722" s="3">
        <v>43774</v>
      </c>
      <c r="F722">
        <f t="shared" si="11"/>
        <v>-12</v>
      </c>
    </row>
    <row r="723" spans="1:6" x14ac:dyDescent="0.25">
      <c r="A723">
        <v>32</v>
      </c>
      <c r="B723">
        <f>CalculateVacation(VLOOKUP(A723,'Employee Data'!A7:P106,16,FALSE),VLOOKUP(A723,'Employee Data'!A7:V106,22,FALSE))</f>
        <v>238</v>
      </c>
      <c r="C723">
        <v>15</v>
      </c>
      <c r="D723" s="3">
        <v>43977</v>
      </c>
      <c r="E723" s="3">
        <v>43985</v>
      </c>
      <c r="F723">
        <f t="shared" si="11"/>
        <v>223</v>
      </c>
    </row>
    <row r="724" spans="1:6" x14ac:dyDescent="0.25">
      <c r="A724">
        <v>13</v>
      </c>
      <c r="B724">
        <f>CalculateVacation(VLOOKUP(A724,'Employee Data'!A7:P106,16,FALSE),VLOOKUP(A724,'Employee Data'!A7:V106,22,FALSE))</f>
        <v>633</v>
      </c>
      <c r="C724">
        <v>17</v>
      </c>
      <c r="D724" s="3">
        <v>43846</v>
      </c>
      <c r="E724" s="3">
        <v>43848</v>
      </c>
      <c r="F724">
        <f t="shared" si="11"/>
        <v>616</v>
      </c>
    </row>
    <row r="725" spans="1:6" x14ac:dyDescent="0.25">
      <c r="A725">
        <v>73</v>
      </c>
      <c r="B725">
        <f>CalculateVacation(VLOOKUP(A725,'Employee Data'!A7:P106,16,FALSE),VLOOKUP(A725,'Employee Data'!A7:V106,22,FALSE))</f>
        <v>105</v>
      </c>
      <c r="C725">
        <v>19</v>
      </c>
      <c r="D725" s="3">
        <v>43546</v>
      </c>
      <c r="E725" s="3">
        <v>43828</v>
      </c>
      <c r="F725">
        <f t="shared" si="11"/>
        <v>86</v>
      </c>
    </row>
    <row r="726" spans="1:6" x14ac:dyDescent="0.25">
      <c r="A726">
        <v>60</v>
      </c>
      <c r="B726">
        <f>CalculateVacation(VLOOKUP(A726,'Employee Data'!A7:P106,16,FALSE),VLOOKUP(A726,'Employee Data'!A7:V106,22,FALSE))</f>
        <v>0</v>
      </c>
      <c r="C726">
        <v>20</v>
      </c>
      <c r="D726" s="3">
        <v>43599</v>
      </c>
      <c r="E726" s="3">
        <v>43634</v>
      </c>
      <c r="F726">
        <f t="shared" si="11"/>
        <v>-20</v>
      </c>
    </row>
    <row r="727" spans="1:6" x14ac:dyDescent="0.25">
      <c r="A727">
        <v>8</v>
      </c>
      <c r="B727">
        <f>CalculateVacation(VLOOKUP(A727,'Employee Data'!A7:P106,16,FALSE),VLOOKUP(A727,'Employee Data'!A7:V106,22,FALSE))</f>
        <v>588</v>
      </c>
      <c r="C727">
        <v>28</v>
      </c>
      <c r="D727" s="3">
        <v>43580</v>
      </c>
      <c r="E727" s="3">
        <v>43894</v>
      </c>
      <c r="F727">
        <f t="shared" si="11"/>
        <v>560</v>
      </c>
    </row>
    <row r="728" spans="1:6" x14ac:dyDescent="0.25">
      <c r="A728">
        <v>91</v>
      </c>
      <c r="B728">
        <f>CalculateVacation(VLOOKUP(A728,'Employee Data'!A7:P106,16,FALSE),VLOOKUP(A728,'Employee Data'!A7:V106,22,FALSE))</f>
        <v>40.5</v>
      </c>
      <c r="C728">
        <v>19</v>
      </c>
      <c r="D728" s="3">
        <v>44042</v>
      </c>
      <c r="E728" s="3">
        <v>44048</v>
      </c>
      <c r="F728">
        <f t="shared" si="11"/>
        <v>21.5</v>
      </c>
    </row>
    <row r="729" spans="1:6" x14ac:dyDescent="0.25">
      <c r="A729">
        <v>99</v>
      </c>
      <c r="B729">
        <f>CalculateVacation(VLOOKUP(A729,'Employee Data'!A7:P106,16,FALSE),VLOOKUP(A729,'Employee Data'!A7:V106,22,FALSE))</f>
        <v>564</v>
      </c>
      <c r="C729">
        <v>1</v>
      </c>
      <c r="D729" s="3">
        <v>43573</v>
      </c>
      <c r="E729" s="3">
        <v>43583</v>
      </c>
      <c r="F729">
        <f t="shared" si="11"/>
        <v>563</v>
      </c>
    </row>
    <row r="730" spans="1:6" x14ac:dyDescent="0.25">
      <c r="A730">
        <v>53</v>
      </c>
      <c r="B730">
        <f>CalculateVacation(VLOOKUP(A730,'Employee Data'!A7:P106,16,FALSE),VLOOKUP(A730,'Employee Data'!A7:V106,22,FALSE))</f>
        <v>630</v>
      </c>
      <c r="C730">
        <v>2</v>
      </c>
      <c r="D730" s="3">
        <v>43467</v>
      </c>
      <c r="E730" s="3">
        <v>43948</v>
      </c>
      <c r="F730">
        <f t="shared" si="11"/>
        <v>628</v>
      </c>
    </row>
    <row r="731" spans="1:6" x14ac:dyDescent="0.25">
      <c r="A731">
        <v>56</v>
      </c>
      <c r="B731">
        <f>CalculateVacation(VLOOKUP(A731,'Employee Data'!A7:P106,16,FALSE),VLOOKUP(A731,'Employee Data'!A7:V106,22,FALSE))</f>
        <v>362.5</v>
      </c>
      <c r="C731">
        <v>10</v>
      </c>
      <c r="D731" s="3">
        <v>43878</v>
      </c>
      <c r="E731" s="3">
        <v>43884</v>
      </c>
      <c r="F731">
        <f t="shared" si="11"/>
        <v>352.5</v>
      </c>
    </row>
    <row r="732" spans="1:6" x14ac:dyDescent="0.25">
      <c r="A732">
        <v>26</v>
      </c>
      <c r="B732">
        <f>CalculateVacation(VLOOKUP(A732,'Employee Data'!A7:P106,16,FALSE),VLOOKUP(A732,'Employee Data'!A7:V106,22,FALSE))</f>
        <v>12.75</v>
      </c>
      <c r="C732">
        <v>18</v>
      </c>
      <c r="D732" s="3">
        <v>43932</v>
      </c>
      <c r="E732" s="3">
        <v>43934</v>
      </c>
      <c r="F732">
        <f t="shared" si="11"/>
        <v>-5.25</v>
      </c>
    </row>
    <row r="733" spans="1:6" x14ac:dyDescent="0.25">
      <c r="A733">
        <v>17</v>
      </c>
      <c r="B733">
        <f>CalculateVacation(VLOOKUP(A733,'Employee Data'!A7:P106,16,FALSE),VLOOKUP(A733,'Employee Data'!A7:V106,22,FALSE))</f>
        <v>30</v>
      </c>
      <c r="C733">
        <v>19</v>
      </c>
      <c r="D733" s="3">
        <v>43902</v>
      </c>
      <c r="E733" s="3">
        <v>44025</v>
      </c>
      <c r="F733">
        <f t="shared" si="11"/>
        <v>11</v>
      </c>
    </row>
    <row r="734" spans="1:6" x14ac:dyDescent="0.25">
      <c r="A734">
        <v>48</v>
      </c>
      <c r="B734">
        <f>CalculateVacation(VLOOKUP(A734,'Employee Data'!A7:P106,16,FALSE),VLOOKUP(A734,'Employee Data'!A7:V106,22,FALSE))</f>
        <v>174</v>
      </c>
      <c r="C734">
        <v>6</v>
      </c>
      <c r="D734" s="3">
        <v>43625</v>
      </c>
      <c r="E734" s="3">
        <v>43695</v>
      </c>
      <c r="F734">
        <f t="shared" si="11"/>
        <v>168</v>
      </c>
    </row>
    <row r="735" spans="1:6" x14ac:dyDescent="0.25">
      <c r="A735">
        <v>12</v>
      </c>
      <c r="B735">
        <f>CalculateVacation(VLOOKUP(A735,'Employee Data'!A7:P106,16,FALSE),VLOOKUP(A735,'Employee Data'!A7:V106,22,FALSE))</f>
        <v>636</v>
      </c>
      <c r="C735">
        <v>21</v>
      </c>
      <c r="D735" s="3">
        <v>43523</v>
      </c>
      <c r="E735" s="3">
        <v>43731</v>
      </c>
      <c r="F735">
        <f t="shared" si="11"/>
        <v>615</v>
      </c>
    </row>
    <row r="736" spans="1:6" x14ac:dyDescent="0.25">
      <c r="A736">
        <v>13</v>
      </c>
      <c r="B736">
        <f>CalculateVacation(VLOOKUP(A736,'Employee Data'!A7:P106,16,FALSE),VLOOKUP(A736,'Employee Data'!A7:V106,22,FALSE))</f>
        <v>633</v>
      </c>
      <c r="C736">
        <v>9</v>
      </c>
      <c r="D736" s="3">
        <v>43692</v>
      </c>
      <c r="E736" s="3">
        <v>43702</v>
      </c>
      <c r="F736">
        <f t="shared" si="11"/>
        <v>624</v>
      </c>
    </row>
    <row r="737" spans="1:6" x14ac:dyDescent="0.25">
      <c r="A737">
        <v>78</v>
      </c>
      <c r="B737">
        <f>CalculateVacation(VLOOKUP(A737,'Employee Data'!A7:P106,16,FALSE),VLOOKUP(A737,'Employee Data'!A7:V106,22,FALSE))</f>
        <v>0</v>
      </c>
      <c r="C737">
        <v>9</v>
      </c>
      <c r="D737" s="3">
        <v>43933</v>
      </c>
      <c r="E737" s="3">
        <v>43938</v>
      </c>
      <c r="F737">
        <f t="shared" si="11"/>
        <v>-9</v>
      </c>
    </row>
    <row r="738" spans="1:6" x14ac:dyDescent="0.25">
      <c r="A738">
        <v>13</v>
      </c>
      <c r="B738">
        <f>CalculateVacation(VLOOKUP(A738,'Employee Data'!A7:P106,16,FALSE),VLOOKUP(A738,'Employee Data'!A7:V106,22,FALSE))</f>
        <v>633</v>
      </c>
      <c r="C738">
        <v>15</v>
      </c>
      <c r="D738" s="3">
        <v>43921</v>
      </c>
      <c r="E738" s="3">
        <v>43991</v>
      </c>
      <c r="F738">
        <f t="shared" si="11"/>
        <v>618</v>
      </c>
    </row>
    <row r="739" spans="1:6" x14ac:dyDescent="0.25">
      <c r="A739">
        <v>36</v>
      </c>
      <c r="B739">
        <f>CalculateVacation(VLOOKUP(A739,'Employee Data'!A7:P106,16,FALSE),VLOOKUP(A739,'Employee Data'!A7:V106,22,FALSE))</f>
        <v>675</v>
      </c>
      <c r="C739">
        <v>13</v>
      </c>
      <c r="D739" s="3">
        <v>43541</v>
      </c>
      <c r="E739" s="3">
        <v>43847</v>
      </c>
      <c r="F739">
        <f t="shared" si="11"/>
        <v>662</v>
      </c>
    </row>
    <row r="740" spans="1:6" x14ac:dyDescent="0.25">
      <c r="A740">
        <v>65</v>
      </c>
      <c r="B740">
        <f>CalculateVacation(VLOOKUP(A740,'Employee Data'!A7:P106,16,FALSE),VLOOKUP(A740,'Employee Data'!A7:V106,22,FALSE))</f>
        <v>112.5</v>
      </c>
      <c r="C740">
        <v>15</v>
      </c>
      <c r="D740" s="3">
        <v>43698</v>
      </c>
      <c r="E740" s="3">
        <v>43707</v>
      </c>
      <c r="F740">
        <f t="shared" si="11"/>
        <v>97.5</v>
      </c>
    </row>
    <row r="741" spans="1:6" x14ac:dyDescent="0.25">
      <c r="A741">
        <v>70</v>
      </c>
      <c r="B741">
        <f>CalculateVacation(VLOOKUP(A741,'Employee Data'!A7:P106,16,FALSE),VLOOKUP(A741,'Employee Data'!A7:V106,22,FALSE))</f>
        <v>543</v>
      </c>
      <c r="C741">
        <v>27</v>
      </c>
      <c r="D741" s="3">
        <v>44094</v>
      </c>
      <c r="E741" s="3">
        <v>44098</v>
      </c>
      <c r="F741">
        <f t="shared" si="11"/>
        <v>516</v>
      </c>
    </row>
    <row r="742" spans="1:6" x14ac:dyDescent="0.25">
      <c r="A742">
        <v>7</v>
      </c>
      <c r="B742">
        <f>CalculateVacation(VLOOKUP(A742,'Employee Data'!A7:P106,16,FALSE),VLOOKUP(A742,'Employee Data'!A7:V106,22,FALSE))</f>
        <v>642</v>
      </c>
      <c r="C742">
        <v>10</v>
      </c>
      <c r="D742" s="3">
        <v>43770</v>
      </c>
      <c r="E742" s="3">
        <v>43775</v>
      </c>
      <c r="F742">
        <f t="shared" si="11"/>
        <v>632</v>
      </c>
    </row>
    <row r="743" spans="1:6" x14ac:dyDescent="0.25">
      <c r="A743">
        <v>46</v>
      </c>
      <c r="B743">
        <f>CalculateVacation(VLOOKUP(A743,'Employee Data'!A7:P106,16,FALSE),VLOOKUP(A743,'Employee Data'!A7:V106,22,FALSE))</f>
        <v>50</v>
      </c>
      <c r="C743">
        <v>9</v>
      </c>
      <c r="D743" s="3">
        <v>43757</v>
      </c>
      <c r="E743" s="3">
        <v>43814</v>
      </c>
      <c r="F743">
        <f t="shared" si="11"/>
        <v>41</v>
      </c>
    </row>
    <row r="744" spans="1:6" x14ac:dyDescent="0.25">
      <c r="A744">
        <v>35</v>
      </c>
      <c r="B744">
        <f>CalculateVacation(VLOOKUP(A744,'Employee Data'!A7:P106,16,FALSE),VLOOKUP(A744,'Employee Data'!A7:V106,22,FALSE))</f>
        <v>555</v>
      </c>
      <c r="C744">
        <v>1</v>
      </c>
      <c r="D744" s="3">
        <v>43895</v>
      </c>
      <c r="E744" s="3">
        <v>43905</v>
      </c>
      <c r="F744">
        <f t="shared" si="11"/>
        <v>554</v>
      </c>
    </row>
    <row r="745" spans="1:6" x14ac:dyDescent="0.25">
      <c r="A745">
        <v>26</v>
      </c>
      <c r="B745">
        <f>CalculateVacation(VLOOKUP(A745,'Employee Data'!A7:P106,16,FALSE),VLOOKUP(A745,'Employee Data'!A7:V106,22,FALSE))</f>
        <v>12.75</v>
      </c>
      <c r="C745">
        <v>15</v>
      </c>
      <c r="D745" s="3">
        <v>44057</v>
      </c>
      <c r="E745" s="3">
        <v>44064</v>
      </c>
      <c r="F745">
        <f t="shared" si="11"/>
        <v>-2.25</v>
      </c>
    </row>
    <row r="746" spans="1:6" x14ac:dyDescent="0.25">
      <c r="A746">
        <v>87</v>
      </c>
      <c r="B746">
        <f>CalculateVacation(VLOOKUP(A746,'Employee Data'!A7:P106,16,FALSE),VLOOKUP(A746,'Employee Data'!A7:V106,22,FALSE))</f>
        <v>537</v>
      </c>
      <c r="C746">
        <v>13</v>
      </c>
      <c r="D746" s="3">
        <v>43533</v>
      </c>
      <c r="E746" s="3">
        <v>43612</v>
      </c>
      <c r="F746">
        <f t="shared" si="11"/>
        <v>524</v>
      </c>
    </row>
    <row r="747" spans="1:6" x14ac:dyDescent="0.25">
      <c r="A747">
        <v>23</v>
      </c>
      <c r="B747">
        <f>CalculateVacation(VLOOKUP(A747,'Employee Data'!A7:P106,16,FALSE),VLOOKUP(A747,'Employee Data'!A7:V106,22,FALSE))</f>
        <v>666</v>
      </c>
      <c r="C747">
        <v>7</v>
      </c>
      <c r="D747" s="3">
        <v>43693</v>
      </c>
      <c r="E747" s="3">
        <v>43697</v>
      </c>
      <c r="F747">
        <f t="shared" si="11"/>
        <v>659</v>
      </c>
    </row>
    <row r="748" spans="1:6" x14ac:dyDescent="0.25">
      <c r="A748">
        <v>47</v>
      </c>
      <c r="B748">
        <f>CalculateVacation(VLOOKUP(A748,'Employee Data'!A7:P106,16,FALSE),VLOOKUP(A748,'Employee Data'!A7:V106,22,FALSE))</f>
        <v>585</v>
      </c>
      <c r="C748">
        <v>20</v>
      </c>
      <c r="D748" s="3">
        <v>43661</v>
      </c>
      <c r="E748" s="3">
        <v>43985</v>
      </c>
      <c r="F748">
        <f t="shared" si="11"/>
        <v>565</v>
      </c>
    </row>
    <row r="749" spans="1:6" x14ac:dyDescent="0.25">
      <c r="A749">
        <v>96</v>
      </c>
      <c r="B749">
        <f>CalculateVacation(VLOOKUP(A749,'Employee Data'!A7:P106,16,FALSE),VLOOKUP(A749,'Employee Data'!A7:V106,22,FALSE))</f>
        <v>0</v>
      </c>
      <c r="C749">
        <v>6</v>
      </c>
      <c r="D749" s="3">
        <v>44028</v>
      </c>
      <c r="E749" s="3">
        <v>44038</v>
      </c>
      <c r="F749">
        <f t="shared" si="11"/>
        <v>-6</v>
      </c>
    </row>
    <row r="750" spans="1:6" x14ac:dyDescent="0.25">
      <c r="A750">
        <v>85</v>
      </c>
      <c r="B750">
        <f>CalculateVacation(VLOOKUP(A750,'Employee Data'!A7:P106,16,FALSE),VLOOKUP(A750,'Employee Data'!A7:V106,22,FALSE))</f>
        <v>636</v>
      </c>
      <c r="C750">
        <v>28</v>
      </c>
      <c r="D750" s="3">
        <v>43785</v>
      </c>
      <c r="E750" s="3">
        <v>44033</v>
      </c>
      <c r="F750">
        <f t="shared" si="11"/>
        <v>608</v>
      </c>
    </row>
    <row r="751" spans="1:6" x14ac:dyDescent="0.25">
      <c r="A751">
        <v>48</v>
      </c>
      <c r="B751">
        <f>CalculateVacation(VLOOKUP(A751,'Employee Data'!A7:P106,16,FALSE),VLOOKUP(A751,'Employee Data'!A7:V106,22,FALSE))</f>
        <v>174</v>
      </c>
      <c r="C751">
        <v>23</v>
      </c>
      <c r="D751" s="3">
        <v>43582</v>
      </c>
      <c r="E751" s="3">
        <v>43582</v>
      </c>
      <c r="F751">
        <f t="shared" si="11"/>
        <v>151</v>
      </c>
    </row>
    <row r="752" spans="1:6" x14ac:dyDescent="0.25">
      <c r="A752">
        <v>67</v>
      </c>
      <c r="B752">
        <f>CalculateVacation(VLOOKUP(A752,'Employee Data'!A7:P106,16,FALSE),VLOOKUP(A752,'Employee Data'!A7:V106,22,FALSE))</f>
        <v>20</v>
      </c>
      <c r="C752">
        <v>20</v>
      </c>
      <c r="D752" s="3">
        <v>43675</v>
      </c>
      <c r="E752" s="3">
        <v>43681</v>
      </c>
      <c r="F752">
        <f t="shared" si="11"/>
        <v>0</v>
      </c>
    </row>
    <row r="753" spans="1:6" x14ac:dyDescent="0.25">
      <c r="A753">
        <v>30</v>
      </c>
      <c r="B753">
        <f>CalculateVacation(VLOOKUP(A753,'Employee Data'!A7:P106,16,FALSE),VLOOKUP(A753,'Employee Data'!A7:V106,22,FALSE))</f>
        <v>138</v>
      </c>
      <c r="C753">
        <v>25</v>
      </c>
      <c r="D753" s="3">
        <v>43753</v>
      </c>
      <c r="E753" s="3">
        <v>44076</v>
      </c>
      <c r="F753">
        <f t="shared" si="11"/>
        <v>113</v>
      </c>
    </row>
    <row r="754" spans="1:6" x14ac:dyDescent="0.25">
      <c r="A754">
        <v>59</v>
      </c>
      <c r="B754">
        <f>CalculateVacation(VLOOKUP(A754,'Employee Data'!A7:P106,16,FALSE),VLOOKUP(A754,'Employee Data'!A7:V106,22,FALSE))</f>
        <v>54</v>
      </c>
      <c r="C754">
        <v>17</v>
      </c>
      <c r="D754" s="3">
        <v>43827</v>
      </c>
      <c r="E754" s="3">
        <v>43829</v>
      </c>
      <c r="F754">
        <f t="shared" si="11"/>
        <v>37</v>
      </c>
    </row>
    <row r="755" spans="1:6" x14ac:dyDescent="0.25">
      <c r="A755">
        <v>69</v>
      </c>
      <c r="B755">
        <f>CalculateVacation(VLOOKUP(A755,'Employee Data'!A7:P106,16,FALSE),VLOOKUP(A755,'Employee Data'!A7:V106,22,FALSE))</f>
        <v>250</v>
      </c>
      <c r="C755">
        <v>5</v>
      </c>
      <c r="D755" s="3">
        <v>43759</v>
      </c>
      <c r="E755" s="3">
        <v>43963</v>
      </c>
      <c r="F755">
        <f t="shared" si="11"/>
        <v>245</v>
      </c>
    </row>
    <row r="756" spans="1:6" x14ac:dyDescent="0.25">
      <c r="A756">
        <v>44</v>
      </c>
      <c r="B756">
        <f>CalculateVacation(VLOOKUP(A756,'Employee Data'!A7:P106,16,FALSE),VLOOKUP(A756,'Employee Data'!A7:V106,22,FALSE))</f>
        <v>432.5</v>
      </c>
      <c r="C756">
        <v>16</v>
      </c>
      <c r="D756" s="3">
        <v>43490</v>
      </c>
      <c r="E756" s="3">
        <v>43899</v>
      </c>
      <c r="F756">
        <f t="shared" si="11"/>
        <v>416.5</v>
      </c>
    </row>
    <row r="757" spans="1:6" x14ac:dyDescent="0.25">
      <c r="A757">
        <v>100</v>
      </c>
      <c r="B757">
        <f>CalculateVacation(VLOOKUP(A757,'Employee Data'!A7:P106,16,FALSE),VLOOKUP(A757,'Employee Data'!A7:V106,22,FALSE))</f>
        <v>540</v>
      </c>
      <c r="C757">
        <v>3</v>
      </c>
      <c r="D757" s="3">
        <v>44026</v>
      </c>
      <c r="E757" s="3">
        <v>44033</v>
      </c>
      <c r="F757">
        <f t="shared" si="11"/>
        <v>537</v>
      </c>
    </row>
    <row r="758" spans="1:6" x14ac:dyDescent="0.25">
      <c r="A758">
        <v>49</v>
      </c>
      <c r="B758">
        <f>CalculateVacation(VLOOKUP(A758,'Employee Data'!A7:P106,16,FALSE),VLOOKUP(A758,'Employee Data'!A7:V106,22,FALSE))</f>
        <v>360</v>
      </c>
      <c r="C758">
        <v>15</v>
      </c>
      <c r="D758" s="3">
        <v>43743</v>
      </c>
      <c r="E758" s="3">
        <v>43751</v>
      </c>
      <c r="F758">
        <f t="shared" si="11"/>
        <v>345</v>
      </c>
    </row>
    <row r="759" spans="1:6" x14ac:dyDescent="0.25">
      <c r="A759">
        <v>39</v>
      </c>
      <c r="B759">
        <f>CalculateVacation(VLOOKUP(A759,'Employee Data'!A7:P106,16,FALSE),VLOOKUP(A759,'Employee Data'!A7:V106,22,FALSE))</f>
        <v>0</v>
      </c>
      <c r="C759">
        <v>17</v>
      </c>
      <c r="D759" s="3">
        <v>43482</v>
      </c>
      <c r="E759" s="3">
        <v>43824</v>
      </c>
      <c r="F759">
        <f t="shared" si="11"/>
        <v>-17</v>
      </c>
    </row>
    <row r="760" spans="1:6" x14ac:dyDescent="0.25">
      <c r="A760">
        <v>59</v>
      </c>
      <c r="B760">
        <f>CalculateVacation(VLOOKUP(A760,'Employee Data'!A7:P106,16,FALSE),VLOOKUP(A760,'Employee Data'!A7:V106,22,FALSE))</f>
        <v>54</v>
      </c>
      <c r="C760">
        <v>6</v>
      </c>
      <c r="D760" s="3">
        <v>43923</v>
      </c>
      <c r="E760" s="3">
        <v>43929</v>
      </c>
      <c r="F760">
        <f t="shared" si="11"/>
        <v>48</v>
      </c>
    </row>
    <row r="761" spans="1:6" x14ac:dyDescent="0.25">
      <c r="A761">
        <v>86</v>
      </c>
      <c r="B761">
        <f>CalculateVacation(VLOOKUP(A761,'Employee Data'!A7:P106,16,FALSE),VLOOKUP(A761,'Employee Data'!A7:V106,22,FALSE))</f>
        <v>618</v>
      </c>
      <c r="C761">
        <v>26</v>
      </c>
      <c r="D761" s="3">
        <v>44081</v>
      </c>
      <c r="E761" s="3">
        <v>44089</v>
      </c>
      <c r="F761">
        <f t="shared" si="11"/>
        <v>592</v>
      </c>
    </row>
    <row r="762" spans="1:6" x14ac:dyDescent="0.25">
      <c r="A762">
        <v>2</v>
      </c>
      <c r="B762">
        <f>CalculateVacation(VLOOKUP(A762,'Employee Data'!A7:P106,16,FALSE),VLOOKUP(A762,'Employee Data'!A7:V106,22,FALSE))</f>
        <v>130.5</v>
      </c>
      <c r="C762">
        <v>20</v>
      </c>
      <c r="D762" s="3">
        <v>43661</v>
      </c>
      <c r="E762" s="3">
        <v>43972</v>
      </c>
      <c r="F762">
        <f t="shared" si="11"/>
        <v>110.5</v>
      </c>
    </row>
    <row r="763" spans="1:6" x14ac:dyDescent="0.25">
      <c r="A763">
        <v>24</v>
      </c>
      <c r="B763">
        <f>CalculateVacation(VLOOKUP(A763,'Employee Data'!A7:P106,16,FALSE),VLOOKUP(A763,'Employee Data'!A7:V106,22,FALSE))</f>
        <v>432.5</v>
      </c>
      <c r="C763">
        <v>8</v>
      </c>
      <c r="D763" s="3">
        <v>43751</v>
      </c>
      <c r="E763" s="3">
        <v>43759</v>
      </c>
      <c r="F763">
        <f t="shared" si="11"/>
        <v>424.5</v>
      </c>
    </row>
    <row r="764" spans="1:6" x14ac:dyDescent="0.25">
      <c r="A764">
        <v>21</v>
      </c>
      <c r="B764">
        <f>CalculateVacation(VLOOKUP(A764,'Employee Data'!A7:P106,16,FALSE),VLOOKUP(A764,'Employee Data'!A7:V106,22,FALSE))</f>
        <v>175.5</v>
      </c>
      <c r="C764">
        <v>17</v>
      </c>
      <c r="D764" s="3">
        <v>43814</v>
      </c>
      <c r="E764" s="3">
        <v>44028</v>
      </c>
      <c r="F764">
        <f t="shared" si="11"/>
        <v>158.5</v>
      </c>
    </row>
    <row r="765" spans="1:6" x14ac:dyDescent="0.25">
      <c r="A765">
        <v>57</v>
      </c>
      <c r="B765">
        <f>CalculateVacation(VLOOKUP(A765,'Employee Data'!A7:P106,16,FALSE),VLOOKUP(A765,'Employee Data'!A7:V106,22,FALSE))</f>
        <v>99</v>
      </c>
      <c r="C765">
        <v>30</v>
      </c>
      <c r="D765" s="3">
        <v>43721</v>
      </c>
      <c r="E765" s="3">
        <v>43881</v>
      </c>
      <c r="F765">
        <f t="shared" si="11"/>
        <v>69</v>
      </c>
    </row>
    <row r="766" spans="1:6" x14ac:dyDescent="0.25">
      <c r="A766">
        <v>59</v>
      </c>
      <c r="B766">
        <f>CalculateVacation(VLOOKUP(A766,'Employee Data'!A7:P106,16,FALSE),VLOOKUP(A766,'Employee Data'!A7:V106,22,FALSE))</f>
        <v>54</v>
      </c>
      <c r="C766">
        <v>3</v>
      </c>
      <c r="D766" s="3">
        <v>43796</v>
      </c>
      <c r="E766" s="3">
        <v>43834</v>
      </c>
      <c r="F766">
        <f t="shared" si="11"/>
        <v>51</v>
      </c>
    </row>
    <row r="767" spans="1:6" x14ac:dyDescent="0.25">
      <c r="A767">
        <v>89</v>
      </c>
      <c r="B767">
        <f>CalculateVacation(VLOOKUP(A767,'Employee Data'!A7:P106,16,FALSE),VLOOKUP(A767,'Employee Data'!A7:V106,22,FALSE))</f>
        <v>126</v>
      </c>
      <c r="C767">
        <v>20</v>
      </c>
      <c r="D767" s="3">
        <v>44044</v>
      </c>
      <c r="E767" s="3">
        <v>44052</v>
      </c>
      <c r="F767">
        <f t="shared" si="11"/>
        <v>106</v>
      </c>
    </row>
    <row r="768" spans="1:6" x14ac:dyDescent="0.25">
      <c r="A768">
        <v>50</v>
      </c>
      <c r="B768">
        <f>CalculateVacation(VLOOKUP(A768,'Employee Data'!A7:P106,16,FALSE),VLOOKUP(A768,'Employee Data'!A7:V106,22,FALSE))</f>
        <v>144</v>
      </c>
      <c r="C768">
        <v>9</v>
      </c>
      <c r="D768" s="3">
        <v>44029</v>
      </c>
      <c r="E768" s="3">
        <v>44032</v>
      </c>
      <c r="F768">
        <f t="shared" si="11"/>
        <v>135</v>
      </c>
    </row>
    <row r="769" spans="1:6" x14ac:dyDescent="0.25">
      <c r="A769">
        <v>17</v>
      </c>
      <c r="B769">
        <f>CalculateVacation(VLOOKUP(A769,'Employee Data'!A7:P106,16,FALSE),VLOOKUP(A769,'Employee Data'!A7:V106,22,FALSE))</f>
        <v>30</v>
      </c>
      <c r="C769">
        <v>8</v>
      </c>
      <c r="D769" s="3">
        <v>43489</v>
      </c>
      <c r="E769" s="3">
        <v>43668</v>
      </c>
      <c r="F769">
        <f t="shared" si="11"/>
        <v>22</v>
      </c>
    </row>
    <row r="770" spans="1:6" x14ac:dyDescent="0.25">
      <c r="A770">
        <v>55</v>
      </c>
      <c r="B770">
        <f>CalculateVacation(VLOOKUP(A770,'Employee Data'!A7:P106,16,FALSE),VLOOKUP(A770,'Employee Data'!A7:V106,22,FALSE))</f>
        <v>0</v>
      </c>
      <c r="C770">
        <v>20</v>
      </c>
      <c r="D770" s="3">
        <v>43988</v>
      </c>
      <c r="E770" s="3">
        <v>44061</v>
      </c>
      <c r="F770">
        <f t="shared" si="11"/>
        <v>-20</v>
      </c>
    </row>
    <row r="771" spans="1:6" x14ac:dyDescent="0.25">
      <c r="A771">
        <v>2</v>
      </c>
      <c r="B771">
        <f>CalculateVacation(VLOOKUP(A771,'Employee Data'!A7:P106,16,FALSE),VLOOKUP(A771,'Employee Data'!A7:V106,22,FALSE))</f>
        <v>130.5</v>
      </c>
      <c r="C771">
        <v>13</v>
      </c>
      <c r="D771" s="3">
        <v>43875</v>
      </c>
      <c r="E771" s="3">
        <v>43880</v>
      </c>
      <c r="F771">
        <f t="shared" si="11"/>
        <v>117.5</v>
      </c>
    </row>
    <row r="772" spans="1:6" x14ac:dyDescent="0.25">
      <c r="A772">
        <v>83</v>
      </c>
      <c r="B772">
        <f>CalculateVacation(VLOOKUP(A772,'Employee Data'!A7:P106,16,FALSE),VLOOKUP(A772,'Employee Data'!A7:V106,22,FALSE))</f>
        <v>405</v>
      </c>
      <c r="C772">
        <v>15</v>
      </c>
      <c r="D772" s="3">
        <v>43619</v>
      </c>
      <c r="E772" s="3">
        <v>43626</v>
      </c>
      <c r="F772">
        <f t="shared" si="11"/>
        <v>390</v>
      </c>
    </row>
    <row r="773" spans="1:6" x14ac:dyDescent="0.25">
      <c r="A773">
        <v>15</v>
      </c>
      <c r="B773">
        <f>CalculateVacation(VLOOKUP(A773,'Employee Data'!A7:P106,16,FALSE),VLOOKUP(A773,'Employee Data'!A7:V106,22,FALSE))</f>
        <v>651</v>
      </c>
      <c r="C773">
        <v>24</v>
      </c>
      <c r="D773" s="3">
        <v>43836</v>
      </c>
      <c r="E773" s="3">
        <v>43844</v>
      </c>
      <c r="F773">
        <f t="shared" si="11"/>
        <v>627</v>
      </c>
    </row>
    <row r="774" spans="1:6" x14ac:dyDescent="0.25">
      <c r="A774">
        <v>84</v>
      </c>
      <c r="B774">
        <f>CalculateVacation(VLOOKUP(A774,'Employee Data'!A7:P106,16,FALSE),VLOOKUP(A774,'Employee Data'!A7:V106,22,FALSE))</f>
        <v>615</v>
      </c>
      <c r="C774">
        <v>9</v>
      </c>
      <c r="D774" s="3">
        <v>43919</v>
      </c>
      <c r="E774" s="3">
        <v>43924</v>
      </c>
      <c r="F774">
        <f t="shared" si="11"/>
        <v>606</v>
      </c>
    </row>
    <row r="775" spans="1:6" x14ac:dyDescent="0.25">
      <c r="A775">
        <v>98</v>
      </c>
      <c r="B775">
        <f>CalculateVacation(VLOOKUP(A775,'Employee Data'!A7:P106,16,FALSE),VLOOKUP(A775,'Employee Data'!A7:V106,22,FALSE))</f>
        <v>648</v>
      </c>
      <c r="C775">
        <v>4</v>
      </c>
      <c r="D775" s="3">
        <v>43923</v>
      </c>
      <c r="E775" s="3">
        <v>43932</v>
      </c>
      <c r="F775">
        <f t="shared" si="11"/>
        <v>644</v>
      </c>
    </row>
    <row r="776" spans="1:6" x14ac:dyDescent="0.25">
      <c r="A776">
        <v>66</v>
      </c>
      <c r="B776">
        <f>CalculateVacation(VLOOKUP(A776,'Employee Data'!A7:P106,16,FALSE),VLOOKUP(A776,'Employee Data'!A7:V106,22,FALSE))</f>
        <v>0</v>
      </c>
      <c r="C776">
        <v>19</v>
      </c>
      <c r="D776" s="3">
        <v>43477</v>
      </c>
      <c r="E776" s="3">
        <v>43550</v>
      </c>
      <c r="F776">
        <f t="shared" ref="F776:F839" si="12">B776-C776</f>
        <v>-19</v>
      </c>
    </row>
    <row r="777" spans="1:6" x14ac:dyDescent="0.25">
      <c r="A777">
        <v>100</v>
      </c>
      <c r="B777">
        <f>CalculateVacation(VLOOKUP(A777,'Employee Data'!A7:P106,16,FALSE),VLOOKUP(A777,'Employee Data'!A7:V106,22,FALSE))</f>
        <v>540</v>
      </c>
      <c r="C777">
        <v>25</v>
      </c>
      <c r="D777" s="3">
        <v>43517</v>
      </c>
      <c r="E777" s="3">
        <v>43645</v>
      </c>
      <c r="F777">
        <f t="shared" si="12"/>
        <v>515</v>
      </c>
    </row>
    <row r="778" spans="1:6" x14ac:dyDescent="0.25">
      <c r="A778">
        <v>74</v>
      </c>
      <c r="B778">
        <f>CalculateVacation(VLOOKUP(A778,'Employee Data'!A7:P106,16,FALSE),VLOOKUP(A778,'Employee Data'!A7:V106,22,FALSE))</f>
        <v>417.5</v>
      </c>
      <c r="C778">
        <v>20</v>
      </c>
      <c r="D778" s="3">
        <v>43846</v>
      </c>
      <c r="E778" s="3">
        <v>44044</v>
      </c>
      <c r="F778">
        <f t="shared" si="12"/>
        <v>397.5</v>
      </c>
    </row>
    <row r="779" spans="1:6" x14ac:dyDescent="0.25">
      <c r="A779">
        <v>51</v>
      </c>
      <c r="B779">
        <f>CalculateVacation(VLOOKUP(A779,'Employee Data'!A7:P106,16,FALSE),VLOOKUP(A779,'Employee Data'!A7:V106,22,FALSE))</f>
        <v>0</v>
      </c>
      <c r="C779">
        <v>3</v>
      </c>
      <c r="D779" s="3">
        <v>43926</v>
      </c>
      <c r="E779" s="3">
        <v>43933</v>
      </c>
      <c r="F779">
        <f t="shared" si="12"/>
        <v>-3</v>
      </c>
    </row>
    <row r="780" spans="1:6" x14ac:dyDescent="0.25">
      <c r="A780">
        <v>46</v>
      </c>
      <c r="B780">
        <f>CalculateVacation(VLOOKUP(A780,'Employee Data'!A7:P106,16,FALSE),VLOOKUP(A780,'Employee Data'!A7:V106,22,FALSE))</f>
        <v>50</v>
      </c>
      <c r="C780">
        <v>21</v>
      </c>
      <c r="D780" s="3">
        <v>43697</v>
      </c>
      <c r="E780" s="3">
        <v>44083</v>
      </c>
      <c r="F780">
        <f t="shared" si="12"/>
        <v>29</v>
      </c>
    </row>
    <row r="781" spans="1:6" x14ac:dyDescent="0.25">
      <c r="A781">
        <v>26</v>
      </c>
      <c r="B781">
        <f>CalculateVacation(VLOOKUP(A781,'Employee Data'!A7:P106,16,FALSE),VLOOKUP(A781,'Employee Data'!A7:V106,22,FALSE))</f>
        <v>12.75</v>
      </c>
      <c r="C781">
        <v>30</v>
      </c>
      <c r="D781" s="3">
        <v>43977</v>
      </c>
      <c r="E781" s="3">
        <v>43982</v>
      </c>
      <c r="F781">
        <f t="shared" si="12"/>
        <v>-17.25</v>
      </c>
    </row>
    <row r="782" spans="1:6" x14ac:dyDescent="0.25">
      <c r="A782">
        <v>28</v>
      </c>
      <c r="B782">
        <f>CalculateVacation(VLOOKUP(A782,'Employee Data'!A7:P106,16,FALSE),VLOOKUP(A782,'Employee Data'!A7:V106,22,FALSE))</f>
        <v>15.5</v>
      </c>
      <c r="C782">
        <v>27</v>
      </c>
      <c r="D782" s="3">
        <v>43788</v>
      </c>
      <c r="E782" s="3">
        <v>43789</v>
      </c>
      <c r="F782">
        <f t="shared" si="12"/>
        <v>-11.5</v>
      </c>
    </row>
    <row r="783" spans="1:6" x14ac:dyDescent="0.25">
      <c r="A783">
        <v>51</v>
      </c>
      <c r="B783">
        <f>CalculateVacation(VLOOKUP(A783,'Employee Data'!A7:P106,16,FALSE),VLOOKUP(A783,'Employee Data'!A7:V106,22,FALSE))</f>
        <v>0</v>
      </c>
      <c r="C783">
        <v>22</v>
      </c>
      <c r="D783" s="3">
        <v>43570</v>
      </c>
      <c r="E783" s="3">
        <v>43695</v>
      </c>
      <c r="F783">
        <f t="shared" si="12"/>
        <v>-22</v>
      </c>
    </row>
    <row r="784" spans="1:6" x14ac:dyDescent="0.25">
      <c r="A784">
        <v>75</v>
      </c>
      <c r="B784">
        <f>CalculateVacation(VLOOKUP(A784,'Employee Data'!A7:P106,16,FALSE),VLOOKUP(A784,'Employee Data'!A7:V106,22,FALSE))</f>
        <v>407.5</v>
      </c>
      <c r="C784">
        <v>20</v>
      </c>
      <c r="D784" s="3">
        <v>44087</v>
      </c>
      <c r="E784" s="3">
        <v>44088</v>
      </c>
      <c r="F784">
        <f t="shared" si="12"/>
        <v>387.5</v>
      </c>
    </row>
    <row r="785" spans="1:6" x14ac:dyDescent="0.25">
      <c r="A785">
        <v>48</v>
      </c>
      <c r="B785">
        <f>CalculateVacation(VLOOKUP(A785,'Employee Data'!A7:P106,16,FALSE),VLOOKUP(A785,'Employee Data'!A7:V106,22,FALSE))</f>
        <v>174</v>
      </c>
      <c r="C785">
        <v>16</v>
      </c>
      <c r="D785" s="3">
        <v>43552</v>
      </c>
      <c r="E785" s="3">
        <v>44053</v>
      </c>
      <c r="F785">
        <f t="shared" si="12"/>
        <v>158</v>
      </c>
    </row>
    <row r="786" spans="1:6" x14ac:dyDescent="0.25">
      <c r="A786">
        <v>71</v>
      </c>
      <c r="B786">
        <f>CalculateVacation(VLOOKUP(A786,'Employee Data'!A7:P106,16,FALSE),VLOOKUP(A786,'Employee Data'!A7:V106,22,FALSE))</f>
        <v>117</v>
      </c>
      <c r="C786">
        <v>25</v>
      </c>
      <c r="D786" s="3">
        <v>43610</v>
      </c>
      <c r="E786" s="3">
        <v>43923</v>
      </c>
      <c r="F786">
        <f t="shared" si="12"/>
        <v>92</v>
      </c>
    </row>
    <row r="787" spans="1:6" x14ac:dyDescent="0.25">
      <c r="A787">
        <v>87</v>
      </c>
      <c r="B787">
        <f>CalculateVacation(VLOOKUP(A787,'Employee Data'!A7:P106,16,FALSE),VLOOKUP(A787,'Employee Data'!A7:V106,22,FALSE))</f>
        <v>537</v>
      </c>
      <c r="C787">
        <v>19</v>
      </c>
      <c r="D787" s="3">
        <v>43586</v>
      </c>
      <c r="E787" s="3">
        <v>43857</v>
      </c>
      <c r="F787">
        <f t="shared" si="12"/>
        <v>518</v>
      </c>
    </row>
    <row r="788" spans="1:6" x14ac:dyDescent="0.25">
      <c r="A788">
        <v>84</v>
      </c>
      <c r="B788">
        <f>CalculateVacation(VLOOKUP(A788,'Employee Data'!A7:P106,16,FALSE),VLOOKUP(A788,'Employee Data'!A7:V106,22,FALSE))</f>
        <v>615</v>
      </c>
      <c r="C788">
        <v>26</v>
      </c>
      <c r="D788" s="3">
        <v>44080</v>
      </c>
      <c r="E788" s="3">
        <v>44086</v>
      </c>
      <c r="F788">
        <f t="shared" si="12"/>
        <v>589</v>
      </c>
    </row>
    <row r="789" spans="1:6" x14ac:dyDescent="0.25">
      <c r="A789">
        <v>18</v>
      </c>
      <c r="B789">
        <f>CalculateVacation(VLOOKUP(A789,'Employee Data'!A7:P106,16,FALSE),VLOOKUP(A789,'Employee Data'!A7:V106,22,FALSE))</f>
        <v>603</v>
      </c>
      <c r="C789">
        <v>29</v>
      </c>
      <c r="D789" s="3">
        <v>43951</v>
      </c>
      <c r="E789" s="3">
        <v>44004</v>
      </c>
      <c r="F789">
        <f t="shared" si="12"/>
        <v>574</v>
      </c>
    </row>
    <row r="790" spans="1:6" x14ac:dyDescent="0.25">
      <c r="A790">
        <v>12</v>
      </c>
      <c r="B790">
        <f>CalculateVacation(VLOOKUP(A790,'Employee Data'!A7:P106,16,FALSE),VLOOKUP(A790,'Employee Data'!A7:V106,22,FALSE))</f>
        <v>636</v>
      </c>
      <c r="C790">
        <v>14</v>
      </c>
      <c r="D790" s="3">
        <v>43815</v>
      </c>
      <c r="E790" s="3">
        <v>43823</v>
      </c>
      <c r="F790">
        <f t="shared" si="12"/>
        <v>622</v>
      </c>
    </row>
    <row r="791" spans="1:6" x14ac:dyDescent="0.25">
      <c r="A791">
        <v>88</v>
      </c>
      <c r="B791">
        <f>CalculateVacation(VLOOKUP(A791,'Employee Data'!A7:P106,16,FALSE),VLOOKUP(A791,'Employee Data'!A7:V106,22,FALSE))</f>
        <v>390</v>
      </c>
      <c r="C791">
        <v>25</v>
      </c>
      <c r="D791" s="3">
        <v>43765</v>
      </c>
      <c r="E791" s="3">
        <v>43782</v>
      </c>
      <c r="F791">
        <f t="shared" si="12"/>
        <v>365</v>
      </c>
    </row>
    <row r="792" spans="1:6" x14ac:dyDescent="0.25">
      <c r="A792">
        <v>11</v>
      </c>
      <c r="B792">
        <f>CalculateVacation(VLOOKUP(A792,'Employee Data'!A7:P106,16,FALSE),VLOOKUP(A792,'Employee Data'!A7:V106,22,FALSE))</f>
        <v>417.5</v>
      </c>
      <c r="C792">
        <v>10</v>
      </c>
      <c r="D792" s="3">
        <v>43919</v>
      </c>
      <c r="E792" s="3">
        <v>44041</v>
      </c>
      <c r="F792">
        <f t="shared" si="12"/>
        <v>407.5</v>
      </c>
    </row>
    <row r="793" spans="1:6" x14ac:dyDescent="0.25">
      <c r="A793">
        <v>38</v>
      </c>
      <c r="B793">
        <f>CalculateVacation(VLOOKUP(A793,'Employee Data'!A7:P106,16,FALSE),VLOOKUP(A793,'Employee Data'!A7:V106,22,FALSE))</f>
        <v>387.5</v>
      </c>
      <c r="C793">
        <v>19</v>
      </c>
      <c r="D793" s="3">
        <v>43946</v>
      </c>
      <c r="E793" s="3">
        <v>43951</v>
      </c>
      <c r="F793">
        <f t="shared" si="12"/>
        <v>368.5</v>
      </c>
    </row>
    <row r="794" spans="1:6" x14ac:dyDescent="0.25">
      <c r="A794">
        <v>7</v>
      </c>
      <c r="B794">
        <f>CalculateVacation(VLOOKUP(A794,'Employee Data'!A7:P106,16,FALSE),VLOOKUP(A794,'Employee Data'!A7:V106,22,FALSE))</f>
        <v>642</v>
      </c>
      <c r="C794">
        <v>26</v>
      </c>
      <c r="D794" s="3">
        <v>43518</v>
      </c>
      <c r="E794" s="3">
        <v>43784</v>
      </c>
      <c r="F794">
        <f t="shared" si="12"/>
        <v>616</v>
      </c>
    </row>
    <row r="795" spans="1:6" x14ac:dyDescent="0.25">
      <c r="A795">
        <v>25</v>
      </c>
      <c r="B795">
        <f>CalculateVacation(VLOOKUP(A795,'Employee Data'!A7:P106,16,FALSE),VLOOKUP(A795,'Employee Data'!A7:V106,22,FALSE))</f>
        <v>52</v>
      </c>
      <c r="C795">
        <v>6</v>
      </c>
      <c r="D795" s="3">
        <v>44031</v>
      </c>
      <c r="E795" s="3">
        <v>44038</v>
      </c>
      <c r="F795">
        <f t="shared" si="12"/>
        <v>46</v>
      </c>
    </row>
    <row r="796" spans="1:6" x14ac:dyDescent="0.25">
      <c r="A796">
        <v>92</v>
      </c>
      <c r="B796">
        <f>CalculateVacation(VLOOKUP(A796,'Employee Data'!A7:P106,16,FALSE),VLOOKUP(A796,'Employee Data'!A7:V106,22,FALSE))</f>
        <v>112.5</v>
      </c>
      <c r="C796">
        <v>1</v>
      </c>
      <c r="D796" s="3">
        <v>43996</v>
      </c>
      <c r="E796" s="3">
        <v>43998</v>
      </c>
      <c r="F796">
        <f t="shared" si="12"/>
        <v>111.5</v>
      </c>
    </row>
    <row r="797" spans="1:6" x14ac:dyDescent="0.25">
      <c r="A797">
        <v>43</v>
      </c>
      <c r="B797">
        <f>CalculateVacation(VLOOKUP(A797,'Employee Data'!A7:P106,16,FALSE),VLOOKUP(A797,'Employee Data'!A7:V106,22,FALSE))</f>
        <v>52</v>
      </c>
      <c r="C797">
        <v>24</v>
      </c>
      <c r="D797" s="3">
        <v>43514</v>
      </c>
      <c r="E797" s="3">
        <v>43775</v>
      </c>
      <c r="F797">
        <f t="shared" si="12"/>
        <v>28</v>
      </c>
    </row>
    <row r="798" spans="1:6" x14ac:dyDescent="0.25">
      <c r="A798">
        <v>57</v>
      </c>
      <c r="B798">
        <f>CalculateVacation(VLOOKUP(A798,'Employee Data'!A7:P106,16,FALSE),VLOOKUP(A798,'Employee Data'!A7:V106,22,FALSE))</f>
        <v>99</v>
      </c>
      <c r="C798">
        <v>13</v>
      </c>
      <c r="D798" s="3">
        <v>43722</v>
      </c>
      <c r="E798" s="3">
        <v>43728</v>
      </c>
      <c r="F798">
        <f t="shared" si="12"/>
        <v>86</v>
      </c>
    </row>
    <row r="799" spans="1:6" x14ac:dyDescent="0.25">
      <c r="A799">
        <v>25</v>
      </c>
      <c r="B799">
        <f>CalculateVacation(VLOOKUP(A799,'Employee Data'!A7:P106,16,FALSE),VLOOKUP(A799,'Employee Data'!A7:V106,22,FALSE))</f>
        <v>52</v>
      </c>
      <c r="C799">
        <v>15</v>
      </c>
      <c r="D799" s="3">
        <v>44043</v>
      </c>
      <c r="E799" s="3">
        <v>44045</v>
      </c>
      <c r="F799">
        <f t="shared" si="12"/>
        <v>37</v>
      </c>
    </row>
    <row r="800" spans="1:6" x14ac:dyDescent="0.25">
      <c r="A800">
        <v>2</v>
      </c>
      <c r="B800">
        <f>CalculateVacation(VLOOKUP(A800,'Employee Data'!A7:P106,16,FALSE),VLOOKUP(A800,'Employee Data'!A7:V106,22,FALSE))</f>
        <v>130.5</v>
      </c>
      <c r="C800">
        <v>14</v>
      </c>
      <c r="D800" s="3">
        <v>44066</v>
      </c>
      <c r="E800" s="3">
        <v>44073</v>
      </c>
      <c r="F800">
        <f t="shared" si="12"/>
        <v>116.5</v>
      </c>
    </row>
    <row r="801" spans="1:6" x14ac:dyDescent="0.25">
      <c r="A801">
        <v>89</v>
      </c>
      <c r="B801">
        <f>CalculateVacation(VLOOKUP(A801,'Employee Data'!A7:P106,16,FALSE),VLOOKUP(A801,'Employee Data'!A7:V106,22,FALSE))</f>
        <v>126</v>
      </c>
      <c r="C801">
        <v>8</v>
      </c>
      <c r="D801" s="3">
        <v>43624</v>
      </c>
      <c r="E801" s="3">
        <v>43625</v>
      </c>
      <c r="F801">
        <f t="shared" si="12"/>
        <v>118</v>
      </c>
    </row>
    <row r="802" spans="1:6" x14ac:dyDescent="0.25">
      <c r="A802">
        <v>82</v>
      </c>
      <c r="B802">
        <f>CalculateVacation(VLOOKUP(A802,'Employee Data'!A7:P106,16,FALSE),VLOOKUP(A802,'Employee Data'!A7:V106,22,FALSE))</f>
        <v>0</v>
      </c>
      <c r="C802">
        <v>21</v>
      </c>
      <c r="D802" s="3">
        <v>43885</v>
      </c>
      <c r="E802" s="3">
        <v>43893</v>
      </c>
      <c r="F802">
        <f t="shared" si="12"/>
        <v>-21</v>
      </c>
    </row>
    <row r="803" spans="1:6" x14ac:dyDescent="0.25">
      <c r="A803">
        <v>10</v>
      </c>
      <c r="B803">
        <f>CalculateVacation(VLOOKUP(A803,'Employee Data'!A7:P106,16,FALSE),VLOOKUP(A803,'Employee Data'!A7:V106,22,FALSE))</f>
        <v>150</v>
      </c>
      <c r="C803">
        <v>30</v>
      </c>
      <c r="D803" s="3">
        <v>43692</v>
      </c>
      <c r="E803" s="3">
        <v>43698</v>
      </c>
      <c r="F803">
        <f t="shared" si="12"/>
        <v>120</v>
      </c>
    </row>
    <row r="804" spans="1:6" x14ac:dyDescent="0.25">
      <c r="A804">
        <v>12</v>
      </c>
      <c r="B804">
        <f>CalculateVacation(VLOOKUP(A804,'Employee Data'!A7:P106,16,FALSE),VLOOKUP(A804,'Employee Data'!A7:V106,22,FALSE))</f>
        <v>636</v>
      </c>
      <c r="C804">
        <v>18</v>
      </c>
      <c r="D804" s="3">
        <v>44065</v>
      </c>
      <c r="E804" s="3">
        <v>44067</v>
      </c>
      <c r="F804">
        <f t="shared" si="12"/>
        <v>618</v>
      </c>
    </row>
    <row r="805" spans="1:6" x14ac:dyDescent="0.25">
      <c r="A805">
        <v>93</v>
      </c>
      <c r="B805">
        <f>CalculateVacation(VLOOKUP(A805,'Employee Data'!A7:P106,16,FALSE),VLOOKUP(A805,'Employee Data'!A7:V106,22,FALSE))</f>
        <v>151.5</v>
      </c>
      <c r="C805">
        <v>12</v>
      </c>
      <c r="D805" s="3">
        <v>43929</v>
      </c>
      <c r="E805" s="3">
        <v>43932</v>
      </c>
      <c r="F805">
        <f t="shared" si="12"/>
        <v>139.5</v>
      </c>
    </row>
    <row r="806" spans="1:6" x14ac:dyDescent="0.25">
      <c r="A806">
        <v>79</v>
      </c>
      <c r="B806">
        <f>CalculateVacation(VLOOKUP(A806,'Employee Data'!A7:P106,16,FALSE),VLOOKUP(A806,'Employee Data'!A7:V106,22,FALSE))</f>
        <v>543</v>
      </c>
      <c r="C806">
        <v>14</v>
      </c>
      <c r="D806" s="3">
        <v>43487</v>
      </c>
      <c r="E806" s="3">
        <v>43716</v>
      </c>
      <c r="F806">
        <f t="shared" si="12"/>
        <v>529</v>
      </c>
    </row>
    <row r="807" spans="1:6" x14ac:dyDescent="0.25">
      <c r="A807">
        <v>63</v>
      </c>
      <c r="B807">
        <f>CalculateVacation(VLOOKUP(A807,'Employee Data'!A7:P106,16,FALSE),VLOOKUP(A807,'Employee Data'!A7:V106,22,FALSE))</f>
        <v>246</v>
      </c>
      <c r="C807">
        <v>23</v>
      </c>
      <c r="D807" s="3">
        <v>43573</v>
      </c>
      <c r="E807" s="3">
        <v>43784</v>
      </c>
      <c r="F807">
        <f t="shared" si="12"/>
        <v>223</v>
      </c>
    </row>
    <row r="808" spans="1:6" x14ac:dyDescent="0.25">
      <c r="A808">
        <v>10</v>
      </c>
      <c r="B808">
        <f>CalculateVacation(VLOOKUP(A808,'Employee Data'!A7:P106,16,FALSE),VLOOKUP(A808,'Employee Data'!A7:V106,22,FALSE))</f>
        <v>150</v>
      </c>
      <c r="C808">
        <v>18</v>
      </c>
      <c r="D808" s="3">
        <v>43846</v>
      </c>
      <c r="E808" s="3">
        <v>44068</v>
      </c>
      <c r="F808">
        <f t="shared" si="12"/>
        <v>132</v>
      </c>
    </row>
    <row r="809" spans="1:6" x14ac:dyDescent="0.25">
      <c r="A809">
        <v>92</v>
      </c>
      <c r="B809">
        <f>CalculateVacation(VLOOKUP(A809,'Employee Data'!A7:P106,16,FALSE),VLOOKUP(A809,'Employee Data'!A7:V106,22,FALSE))</f>
        <v>112.5</v>
      </c>
      <c r="C809">
        <v>2</v>
      </c>
      <c r="D809" s="3">
        <v>43813</v>
      </c>
      <c r="E809" s="3">
        <v>43816</v>
      </c>
      <c r="F809">
        <f t="shared" si="12"/>
        <v>110.5</v>
      </c>
    </row>
    <row r="810" spans="1:6" x14ac:dyDescent="0.25">
      <c r="A810">
        <v>22</v>
      </c>
      <c r="B810">
        <f>CalculateVacation(VLOOKUP(A810,'Employee Data'!A7:P106,16,FALSE),VLOOKUP(A810,'Employee Data'!A7:V106,22,FALSE))</f>
        <v>43</v>
      </c>
      <c r="C810">
        <v>18</v>
      </c>
      <c r="D810" s="3">
        <v>44026</v>
      </c>
      <c r="E810" s="3">
        <v>44036</v>
      </c>
      <c r="F810">
        <f t="shared" si="12"/>
        <v>25</v>
      </c>
    </row>
    <row r="811" spans="1:6" x14ac:dyDescent="0.25">
      <c r="A811">
        <v>4</v>
      </c>
      <c r="B811">
        <f>CalculateVacation(VLOOKUP(A811,'Employee Data'!A7:P106,16,FALSE),VLOOKUP(A811,'Employee Data'!A7:V106,22,FALSE))</f>
        <v>242</v>
      </c>
      <c r="C811">
        <v>7</v>
      </c>
      <c r="D811" s="3">
        <v>43804</v>
      </c>
      <c r="E811" s="3">
        <v>44088</v>
      </c>
      <c r="F811">
        <f t="shared" si="12"/>
        <v>235</v>
      </c>
    </row>
    <row r="812" spans="1:6" x14ac:dyDescent="0.25">
      <c r="A812">
        <v>47</v>
      </c>
      <c r="B812">
        <f>CalculateVacation(VLOOKUP(A812,'Employee Data'!A7:P106,16,FALSE),VLOOKUP(A812,'Employee Data'!A7:V106,22,FALSE))</f>
        <v>585</v>
      </c>
      <c r="C812">
        <v>22</v>
      </c>
      <c r="D812" s="3">
        <v>43501</v>
      </c>
      <c r="E812" s="3">
        <v>43737</v>
      </c>
      <c r="F812">
        <f t="shared" si="12"/>
        <v>563</v>
      </c>
    </row>
    <row r="813" spans="1:6" x14ac:dyDescent="0.25">
      <c r="A813">
        <v>23</v>
      </c>
      <c r="B813">
        <f>CalculateVacation(VLOOKUP(A813,'Employee Data'!A7:P106,16,FALSE),VLOOKUP(A813,'Employee Data'!A7:V106,22,FALSE))</f>
        <v>666</v>
      </c>
      <c r="C813">
        <v>18</v>
      </c>
      <c r="D813" s="3">
        <v>43612</v>
      </c>
      <c r="E813" s="3">
        <v>44091</v>
      </c>
      <c r="F813">
        <f t="shared" si="12"/>
        <v>648</v>
      </c>
    </row>
    <row r="814" spans="1:6" x14ac:dyDescent="0.25">
      <c r="A814">
        <v>36</v>
      </c>
      <c r="B814">
        <f>CalculateVacation(VLOOKUP(A814,'Employee Data'!A7:P106,16,FALSE),VLOOKUP(A814,'Employee Data'!A7:V106,22,FALSE))</f>
        <v>675</v>
      </c>
      <c r="C814">
        <v>14</v>
      </c>
      <c r="D814" s="3">
        <v>43750</v>
      </c>
      <c r="E814" s="3">
        <v>44082</v>
      </c>
      <c r="F814">
        <f t="shared" si="12"/>
        <v>661</v>
      </c>
    </row>
    <row r="815" spans="1:6" x14ac:dyDescent="0.25">
      <c r="A815">
        <v>90</v>
      </c>
      <c r="B815">
        <f>CalculateVacation(VLOOKUP(A815,'Employee Data'!A7:P106,16,FALSE),VLOOKUP(A815,'Employee Data'!A7:V106,22,FALSE))</f>
        <v>154.5</v>
      </c>
      <c r="C815">
        <v>27</v>
      </c>
      <c r="D815" s="3">
        <v>43506</v>
      </c>
      <c r="E815" s="3">
        <v>43810</v>
      </c>
      <c r="F815">
        <f t="shared" si="12"/>
        <v>127.5</v>
      </c>
    </row>
    <row r="816" spans="1:6" x14ac:dyDescent="0.25">
      <c r="A816">
        <v>95</v>
      </c>
      <c r="B816">
        <f>CalculateVacation(VLOOKUP(A816,'Employee Data'!A7:P106,16,FALSE),VLOOKUP(A816,'Employee Data'!A7:V106,22,FALSE))</f>
        <v>618</v>
      </c>
      <c r="C816">
        <v>6</v>
      </c>
      <c r="D816" s="3">
        <v>43566</v>
      </c>
      <c r="E816" s="3">
        <v>43599</v>
      </c>
      <c r="F816">
        <f t="shared" si="12"/>
        <v>612</v>
      </c>
    </row>
    <row r="817" spans="1:6" x14ac:dyDescent="0.25">
      <c r="A817">
        <v>93</v>
      </c>
      <c r="B817">
        <f>CalculateVacation(VLOOKUP(A817,'Employee Data'!A7:P106,16,FALSE),VLOOKUP(A817,'Employee Data'!A7:V106,22,FALSE))</f>
        <v>151.5</v>
      </c>
      <c r="C817">
        <v>5</v>
      </c>
      <c r="D817" s="3">
        <v>44029</v>
      </c>
      <c r="E817" s="3">
        <v>44037</v>
      </c>
      <c r="F817">
        <f t="shared" si="12"/>
        <v>146.5</v>
      </c>
    </row>
    <row r="818" spans="1:6" x14ac:dyDescent="0.25">
      <c r="A818">
        <v>45</v>
      </c>
      <c r="B818">
        <f>CalculateVacation(VLOOKUP(A818,'Employee Data'!A7:P106,16,FALSE),VLOOKUP(A818,'Employee Data'!A7:V106,22,FALSE))</f>
        <v>45</v>
      </c>
      <c r="C818">
        <v>28</v>
      </c>
      <c r="D818" s="3">
        <v>43858</v>
      </c>
      <c r="E818" s="3">
        <v>43863</v>
      </c>
      <c r="F818">
        <f t="shared" si="12"/>
        <v>17</v>
      </c>
    </row>
    <row r="819" spans="1:6" x14ac:dyDescent="0.25">
      <c r="A819">
        <v>51</v>
      </c>
      <c r="B819">
        <f>CalculateVacation(VLOOKUP(A819,'Employee Data'!A7:P106,16,FALSE),VLOOKUP(A819,'Employee Data'!A7:V106,22,FALSE))</f>
        <v>0</v>
      </c>
      <c r="C819">
        <v>18</v>
      </c>
      <c r="D819" s="3">
        <v>43987</v>
      </c>
      <c r="E819" s="3">
        <v>43995</v>
      </c>
      <c r="F819">
        <f t="shared" si="12"/>
        <v>-18</v>
      </c>
    </row>
    <row r="820" spans="1:6" x14ac:dyDescent="0.25">
      <c r="A820">
        <v>41</v>
      </c>
      <c r="B820">
        <f>CalculateVacation(VLOOKUP(A820,'Employee Data'!A7:P106,16,FALSE),VLOOKUP(A820,'Employee Data'!A7:V106,22,FALSE))</f>
        <v>365</v>
      </c>
      <c r="C820">
        <v>12</v>
      </c>
      <c r="D820" s="3">
        <v>43669</v>
      </c>
      <c r="E820" s="3">
        <v>44084</v>
      </c>
      <c r="F820">
        <f t="shared" si="12"/>
        <v>353</v>
      </c>
    </row>
    <row r="821" spans="1:6" x14ac:dyDescent="0.25">
      <c r="A821">
        <v>33</v>
      </c>
      <c r="B821">
        <f>CalculateVacation(VLOOKUP(A821,'Employee Data'!A7:P106,16,FALSE),VLOOKUP(A821,'Employee Data'!A7:V106,22,FALSE))</f>
        <v>437.5</v>
      </c>
      <c r="C821">
        <v>30</v>
      </c>
      <c r="D821" s="3">
        <v>43566</v>
      </c>
      <c r="E821" s="3">
        <v>43978</v>
      </c>
      <c r="F821">
        <f t="shared" si="12"/>
        <v>407.5</v>
      </c>
    </row>
    <row r="822" spans="1:6" x14ac:dyDescent="0.25">
      <c r="A822">
        <v>18</v>
      </c>
      <c r="B822">
        <f>CalculateVacation(VLOOKUP(A822,'Employee Data'!A7:P106,16,FALSE),VLOOKUP(A822,'Employee Data'!A7:V106,22,FALSE))</f>
        <v>603</v>
      </c>
      <c r="C822">
        <v>25</v>
      </c>
      <c r="D822" s="3">
        <v>43716</v>
      </c>
      <c r="E822" s="3">
        <v>43722</v>
      </c>
      <c r="F822">
        <f t="shared" si="12"/>
        <v>578</v>
      </c>
    </row>
    <row r="823" spans="1:6" x14ac:dyDescent="0.25">
      <c r="A823">
        <v>2</v>
      </c>
      <c r="B823">
        <f>CalculateVacation(VLOOKUP(A823,'Employee Data'!A7:P106,16,FALSE),VLOOKUP(A823,'Employee Data'!A7:V106,22,FALSE))</f>
        <v>130.5</v>
      </c>
      <c r="C823">
        <v>9</v>
      </c>
      <c r="D823" s="3">
        <v>43530</v>
      </c>
      <c r="E823" s="3">
        <v>44096</v>
      </c>
      <c r="F823">
        <f t="shared" si="12"/>
        <v>121.5</v>
      </c>
    </row>
    <row r="824" spans="1:6" x14ac:dyDescent="0.25">
      <c r="A824">
        <v>97</v>
      </c>
      <c r="B824">
        <f>CalculateVacation(VLOOKUP(A824,'Employee Data'!A7:P106,16,FALSE),VLOOKUP(A824,'Employee Data'!A7:V106,22,FALSE))</f>
        <v>355</v>
      </c>
      <c r="C824">
        <v>7</v>
      </c>
      <c r="D824" s="3">
        <v>44052</v>
      </c>
      <c r="E824" s="3">
        <v>44054</v>
      </c>
      <c r="F824">
        <f t="shared" si="12"/>
        <v>348</v>
      </c>
    </row>
    <row r="825" spans="1:6" x14ac:dyDescent="0.25">
      <c r="A825">
        <v>16</v>
      </c>
      <c r="B825">
        <f>CalculateVacation(VLOOKUP(A825,'Employee Data'!A7:P106,16,FALSE),VLOOKUP(A825,'Employee Data'!A7:V106,22,FALSE))</f>
        <v>240</v>
      </c>
      <c r="C825">
        <v>29</v>
      </c>
      <c r="D825" s="3">
        <v>43794</v>
      </c>
      <c r="E825" s="3">
        <v>43795</v>
      </c>
      <c r="F825">
        <f t="shared" si="12"/>
        <v>211</v>
      </c>
    </row>
    <row r="826" spans="1:6" x14ac:dyDescent="0.25">
      <c r="A826">
        <v>23</v>
      </c>
      <c r="B826">
        <f>CalculateVacation(VLOOKUP(A826,'Employee Data'!A7:P106,16,FALSE),VLOOKUP(A826,'Employee Data'!A7:V106,22,FALSE))</f>
        <v>666</v>
      </c>
      <c r="C826">
        <v>6</v>
      </c>
      <c r="D826" s="3">
        <v>43628</v>
      </c>
      <c r="E826" s="3">
        <v>43775</v>
      </c>
      <c r="F826">
        <f t="shared" si="12"/>
        <v>660</v>
      </c>
    </row>
    <row r="827" spans="1:6" x14ac:dyDescent="0.25">
      <c r="A827">
        <v>20</v>
      </c>
      <c r="B827">
        <f>CalculateVacation(VLOOKUP(A827,'Employee Data'!A7:P106,16,FALSE),VLOOKUP(A827,'Employee Data'!A7:V106,22,FALSE))</f>
        <v>410</v>
      </c>
      <c r="C827">
        <v>4</v>
      </c>
      <c r="D827" s="3">
        <v>43950</v>
      </c>
      <c r="E827" s="3">
        <v>43953</v>
      </c>
      <c r="F827">
        <f t="shared" si="12"/>
        <v>406</v>
      </c>
    </row>
    <row r="828" spans="1:6" x14ac:dyDescent="0.25">
      <c r="A828">
        <v>13</v>
      </c>
      <c r="B828">
        <f>CalculateVacation(VLOOKUP(A828,'Employee Data'!A7:P106,16,FALSE),VLOOKUP(A828,'Employee Data'!A7:V106,22,FALSE))</f>
        <v>633</v>
      </c>
      <c r="C828">
        <v>25</v>
      </c>
      <c r="D828" s="3">
        <v>43787</v>
      </c>
      <c r="E828" s="3">
        <v>43795</v>
      </c>
      <c r="F828">
        <f t="shared" si="12"/>
        <v>608</v>
      </c>
    </row>
    <row r="829" spans="1:6" x14ac:dyDescent="0.25">
      <c r="A829">
        <v>30</v>
      </c>
      <c r="B829">
        <f>CalculateVacation(VLOOKUP(A829,'Employee Data'!A7:P106,16,FALSE),VLOOKUP(A829,'Employee Data'!A7:V106,22,FALSE))</f>
        <v>138</v>
      </c>
      <c r="C829">
        <v>28</v>
      </c>
      <c r="D829" s="3">
        <v>43760</v>
      </c>
      <c r="E829" s="3">
        <v>43763</v>
      </c>
      <c r="F829">
        <f t="shared" si="12"/>
        <v>110</v>
      </c>
    </row>
    <row r="830" spans="1:6" x14ac:dyDescent="0.25">
      <c r="A830">
        <v>60</v>
      </c>
      <c r="B830">
        <f>CalculateVacation(VLOOKUP(A830,'Employee Data'!A7:P106,16,FALSE),VLOOKUP(A830,'Employee Data'!A7:V106,22,FALSE))</f>
        <v>0</v>
      </c>
      <c r="C830">
        <v>20</v>
      </c>
      <c r="D830" s="3">
        <v>43870</v>
      </c>
      <c r="E830" s="3">
        <v>43875</v>
      </c>
      <c r="F830">
        <f t="shared" si="12"/>
        <v>-20</v>
      </c>
    </row>
    <row r="831" spans="1:6" x14ac:dyDescent="0.25">
      <c r="A831">
        <v>12</v>
      </c>
      <c r="B831">
        <f>CalculateVacation(VLOOKUP(A831,'Employee Data'!A7:P106,16,FALSE),VLOOKUP(A831,'Employee Data'!A7:V106,22,FALSE))</f>
        <v>636</v>
      </c>
      <c r="C831">
        <v>26</v>
      </c>
      <c r="D831" s="3">
        <v>43567</v>
      </c>
      <c r="E831" s="3">
        <v>43784</v>
      </c>
      <c r="F831">
        <f t="shared" si="12"/>
        <v>610</v>
      </c>
    </row>
    <row r="832" spans="1:6" x14ac:dyDescent="0.25">
      <c r="A832">
        <v>58</v>
      </c>
      <c r="B832">
        <f>CalculateVacation(VLOOKUP(A832,'Employee Data'!A7:P106,16,FALSE),VLOOKUP(A832,'Employee Data'!A7:V106,22,FALSE))</f>
        <v>114</v>
      </c>
      <c r="C832">
        <v>4</v>
      </c>
      <c r="D832" s="3">
        <v>43581</v>
      </c>
      <c r="E832" s="3">
        <v>43833</v>
      </c>
      <c r="F832">
        <f t="shared" si="12"/>
        <v>110</v>
      </c>
    </row>
    <row r="833" spans="1:6" x14ac:dyDescent="0.25">
      <c r="A833">
        <v>19</v>
      </c>
      <c r="B833">
        <f>CalculateVacation(VLOOKUP(A833,'Employee Data'!A7:P106,16,FALSE),VLOOKUP(A833,'Employee Data'!A7:V106,22,FALSE))</f>
        <v>13</v>
      </c>
      <c r="C833">
        <v>12</v>
      </c>
      <c r="D833" s="3">
        <v>43926</v>
      </c>
      <c r="E833" s="3">
        <v>43992</v>
      </c>
      <c r="F833">
        <f t="shared" si="12"/>
        <v>1</v>
      </c>
    </row>
    <row r="834" spans="1:6" x14ac:dyDescent="0.25">
      <c r="A834">
        <v>82</v>
      </c>
      <c r="B834">
        <f>CalculateVacation(VLOOKUP(A834,'Employee Data'!A7:P106,16,FALSE),VLOOKUP(A834,'Employee Data'!A7:V106,22,FALSE))</f>
        <v>0</v>
      </c>
      <c r="C834">
        <v>5</v>
      </c>
      <c r="D834" s="3">
        <v>43721</v>
      </c>
      <c r="E834" s="3">
        <v>43765</v>
      </c>
      <c r="F834">
        <f t="shared" si="12"/>
        <v>-5</v>
      </c>
    </row>
    <row r="835" spans="1:6" x14ac:dyDescent="0.25">
      <c r="A835">
        <v>6</v>
      </c>
      <c r="B835">
        <f>CalculateVacation(VLOOKUP(A835,'Employee Data'!A7:P106,16,FALSE),VLOOKUP(A835,'Employee Data'!A7:V106,22,FALSE))</f>
        <v>40.5</v>
      </c>
      <c r="C835">
        <v>16</v>
      </c>
      <c r="D835" s="3">
        <v>43913</v>
      </c>
      <c r="E835" s="3">
        <v>43920</v>
      </c>
      <c r="F835">
        <f t="shared" si="12"/>
        <v>24.5</v>
      </c>
    </row>
    <row r="836" spans="1:6" x14ac:dyDescent="0.25">
      <c r="A836">
        <v>71</v>
      </c>
      <c r="B836">
        <f>CalculateVacation(VLOOKUP(A836,'Employee Data'!A7:P106,16,FALSE),VLOOKUP(A836,'Employee Data'!A7:V106,22,FALSE))</f>
        <v>117</v>
      </c>
      <c r="C836">
        <v>30</v>
      </c>
      <c r="D836" s="3">
        <v>43686</v>
      </c>
      <c r="E836" s="3">
        <v>43686</v>
      </c>
      <c r="F836">
        <f t="shared" si="12"/>
        <v>87</v>
      </c>
    </row>
    <row r="837" spans="1:6" x14ac:dyDescent="0.25">
      <c r="A837">
        <v>83</v>
      </c>
      <c r="B837">
        <f>CalculateVacation(VLOOKUP(A837,'Employee Data'!A7:P106,16,FALSE),VLOOKUP(A837,'Employee Data'!A7:V106,22,FALSE))</f>
        <v>405</v>
      </c>
      <c r="C837">
        <v>13</v>
      </c>
      <c r="D837" s="3">
        <v>43541</v>
      </c>
      <c r="E837" s="3">
        <v>43703</v>
      </c>
      <c r="F837">
        <f t="shared" si="12"/>
        <v>392</v>
      </c>
    </row>
    <row r="838" spans="1:6" x14ac:dyDescent="0.25">
      <c r="A838">
        <v>60</v>
      </c>
      <c r="B838">
        <f>CalculateVacation(VLOOKUP(A838,'Employee Data'!A7:P106,16,FALSE),VLOOKUP(A838,'Employee Data'!A7:V106,22,FALSE))</f>
        <v>0</v>
      </c>
      <c r="C838">
        <v>26</v>
      </c>
      <c r="D838" s="3">
        <v>43710</v>
      </c>
      <c r="E838" s="3">
        <v>43718</v>
      </c>
      <c r="F838">
        <f t="shared" si="12"/>
        <v>-26</v>
      </c>
    </row>
    <row r="839" spans="1:6" x14ac:dyDescent="0.25">
      <c r="A839">
        <v>84</v>
      </c>
      <c r="B839">
        <f>CalculateVacation(VLOOKUP(A839,'Employee Data'!A7:P106,16,FALSE),VLOOKUP(A839,'Employee Data'!A7:V106,22,FALSE))</f>
        <v>615</v>
      </c>
      <c r="C839">
        <v>29</v>
      </c>
      <c r="D839" s="3">
        <v>43576</v>
      </c>
      <c r="E839" s="3">
        <v>43753</v>
      </c>
      <c r="F839">
        <f t="shared" si="12"/>
        <v>586</v>
      </c>
    </row>
    <row r="840" spans="1:6" x14ac:dyDescent="0.25">
      <c r="A840">
        <v>63</v>
      </c>
      <c r="B840">
        <f>CalculateVacation(VLOOKUP(A840,'Employee Data'!A7:P106,16,FALSE),VLOOKUP(A840,'Employee Data'!A7:V106,22,FALSE))</f>
        <v>246</v>
      </c>
      <c r="C840">
        <v>25</v>
      </c>
      <c r="D840" s="3">
        <v>43832</v>
      </c>
      <c r="E840" s="3">
        <v>44058</v>
      </c>
      <c r="F840">
        <f t="shared" ref="F840:F903" si="13">B840-C840</f>
        <v>221</v>
      </c>
    </row>
    <row r="841" spans="1:6" x14ac:dyDescent="0.25">
      <c r="A841">
        <v>99</v>
      </c>
      <c r="B841">
        <f>CalculateVacation(VLOOKUP(A841,'Employee Data'!A7:P106,16,FALSE),VLOOKUP(A841,'Employee Data'!A7:V106,22,FALSE))</f>
        <v>564</v>
      </c>
      <c r="C841">
        <v>14</v>
      </c>
      <c r="D841" s="3">
        <v>43892</v>
      </c>
      <c r="E841" s="3">
        <v>44085</v>
      </c>
      <c r="F841">
        <f t="shared" si="13"/>
        <v>550</v>
      </c>
    </row>
    <row r="842" spans="1:6" x14ac:dyDescent="0.25">
      <c r="A842">
        <v>3</v>
      </c>
      <c r="B842">
        <f>CalculateVacation(VLOOKUP(A842,'Employee Data'!A7:P106,16,FALSE),VLOOKUP(A842,'Employee Data'!A7:V106,22,FALSE))</f>
        <v>238</v>
      </c>
      <c r="C842">
        <v>7</v>
      </c>
      <c r="D842" s="3">
        <v>44087</v>
      </c>
      <c r="E842" s="3">
        <v>44091</v>
      </c>
      <c r="F842">
        <f t="shared" si="13"/>
        <v>231</v>
      </c>
    </row>
    <row r="843" spans="1:6" x14ac:dyDescent="0.25">
      <c r="A843">
        <v>54</v>
      </c>
      <c r="B843">
        <f>CalculateVacation(VLOOKUP(A843,'Employee Data'!A7:P106,16,FALSE),VLOOKUP(A843,'Employee Data'!A7:V106,22,FALSE))</f>
        <v>145.5</v>
      </c>
      <c r="C843">
        <v>3</v>
      </c>
      <c r="D843" s="3">
        <v>43837</v>
      </c>
      <c r="E843" s="3">
        <v>43841</v>
      </c>
      <c r="F843">
        <f t="shared" si="13"/>
        <v>142.5</v>
      </c>
    </row>
    <row r="844" spans="1:6" x14ac:dyDescent="0.25">
      <c r="A844">
        <v>63</v>
      </c>
      <c r="B844">
        <f>CalculateVacation(VLOOKUP(A844,'Employee Data'!A7:P106,16,FALSE),VLOOKUP(A844,'Employee Data'!A7:V106,22,FALSE))</f>
        <v>246</v>
      </c>
      <c r="C844">
        <v>13</v>
      </c>
      <c r="D844" s="3">
        <v>43729</v>
      </c>
      <c r="E844" s="3">
        <v>43736</v>
      </c>
      <c r="F844">
        <f t="shared" si="13"/>
        <v>233</v>
      </c>
    </row>
    <row r="845" spans="1:6" x14ac:dyDescent="0.25">
      <c r="A845">
        <v>92</v>
      </c>
      <c r="B845">
        <f>CalculateVacation(VLOOKUP(A845,'Employee Data'!A7:P106,16,FALSE),VLOOKUP(A845,'Employee Data'!A7:V106,22,FALSE))</f>
        <v>112.5</v>
      </c>
      <c r="C845">
        <v>13</v>
      </c>
      <c r="D845" s="3">
        <v>43570</v>
      </c>
      <c r="E845" s="3">
        <v>43924</v>
      </c>
      <c r="F845">
        <f t="shared" si="13"/>
        <v>99.5</v>
      </c>
    </row>
    <row r="846" spans="1:6" x14ac:dyDescent="0.25">
      <c r="A846">
        <v>72</v>
      </c>
      <c r="B846">
        <f>CalculateVacation(VLOOKUP(A846,'Employee Data'!A7:P106,16,FALSE),VLOOKUP(A846,'Employee Data'!A7:V106,22,FALSE))</f>
        <v>537</v>
      </c>
      <c r="C846">
        <v>10</v>
      </c>
      <c r="D846" s="3">
        <v>44011</v>
      </c>
      <c r="E846" s="3">
        <v>44020</v>
      </c>
      <c r="F846">
        <f t="shared" si="13"/>
        <v>527</v>
      </c>
    </row>
    <row r="847" spans="1:6" x14ac:dyDescent="0.25">
      <c r="A847">
        <v>38</v>
      </c>
      <c r="B847">
        <f>CalculateVacation(VLOOKUP(A847,'Employee Data'!A7:P106,16,FALSE),VLOOKUP(A847,'Employee Data'!A7:V106,22,FALSE))</f>
        <v>387.5</v>
      </c>
      <c r="C847">
        <v>12</v>
      </c>
      <c r="D847" s="3">
        <v>43591</v>
      </c>
      <c r="E847" s="3">
        <v>43752</v>
      </c>
      <c r="F847">
        <f t="shared" si="13"/>
        <v>375.5</v>
      </c>
    </row>
    <row r="848" spans="1:6" x14ac:dyDescent="0.25">
      <c r="A848">
        <v>21</v>
      </c>
      <c r="B848">
        <f>CalculateVacation(VLOOKUP(A848,'Employee Data'!A7:P106,16,FALSE),VLOOKUP(A848,'Employee Data'!A7:V106,22,FALSE))</f>
        <v>175.5</v>
      </c>
      <c r="C848">
        <v>19</v>
      </c>
      <c r="D848" s="3">
        <v>43861</v>
      </c>
      <c r="E848" s="3">
        <v>43869</v>
      </c>
      <c r="F848">
        <f t="shared" si="13"/>
        <v>156.5</v>
      </c>
    </row>
    <row r="849" spans="1:6" x14ac:dyDescent="0.25">
      <c r="A849">
        <v>17</v>
      </c>
      <c r="B849">
        <f>CalculateVacation(VLOOKUP(A849,'Employee Data'!A7:P106,16,FALSE),VLOOKUP(A849,'Employee Data'!A7:V106,22,FALSE))</f>
        <v>30</v>
      </c>
      <c r="C849">
        <v>14</v>
      </c>
      <c r="D849" s="3">
        <v>43562</v>
      </c>
      <c r="E849" s="3">
        <v>44036</v>
      </c>
      <c r="F849">
        <f t="shared" si="13"/>
        <v>16</v>
      </c>
    </row>
    <row r="850" spans="1:6" x14ac:dyDescent="0.25">
      <c r="A850">
        <v>57</v>
      </c>
      <c r="B850">
        <f>CalculateVacation(VLOOKUP(A850,'Employee Data'!A7:P106,16,FALSE),VLOOKUP(A850,'Employee Data'!A7:V106,22,FALSE))</f>
        <v>99</v>
      </c>
      <c r="C850">
        <v>19</v>
      </c>
      <c r="D850" s="3">
        <v>43477</v>
      </c>
      <c r="E850" s="3">
        <v>43828</v>
      </c>
      <c r="F850">
        <f t="shared" si="13"/>
        <v>80</v>
      </c>
    </row>
    <row r="851" spans="1:6" x14ac:dyDescent="0.25">
      <c r="A851">
        <v>72</v>
      </c>
      <c r="B851">
        <f>CalculateVacation(VLOOKUP(A851,'Employee Data'!A7:P106,16,FALSE),VLOOKUP(A851,'Employee Data'!A7:V106,22,FALSE))</f>
        <v>537</v>
      </c>
      <c r="C851">
        <v>11</v>
      </c>
      <c r="D851" s="3">
        <v>43929</v>
      </c>
      <c r="E851" s="3">
        <v>44018</v>
      </c>
      <c r="F851">
        <f t="shared" si="13"/>
        <v>526</v>
      </c>
    </row>
    <row r="852" spans="1:6" x14ac:dyDescent="0.25">
      <c r="A852">
        <v>20</v>
      </c>
      <c r="B852">
        <f>CalculateVacation(VLOOKUP(A852,'Employee Data'!A7:P106,16,FALSE),VLOOKUP(A852,'Employee Data'!A7:V106,22,FALSE))</f>
        <v>410</v>
      </c>
      <c r="C852">
        <v>15</v>
      </c>
      <c r="D852" s="3">
        <v>43721</v>
      </c>
      <c r="E852" s="3">
        <v>43724</v>
      </c>
      <c r="F852">
        <f t="shared" si="13"/>
        <v>395</v>
      </c>
    </row>
    <row r="853" spans="1:6" x14ac:dyDescent="0.25">
      <c r="A853">
        <v>50</v>
      </c>
      <c r="B853">
        <f>CalculateVacation(VLOOKUP(A853,'Employee Data'!A7:P106,16,FALSE),VLOOKUP(A853,'Employee Data'!A7:V106,22,FALSE))</f>
        <v>144</v>
      </c>
      <c r="C853">
        <v>20</v>
      </c>
      <c r="D853" s="3">
        <v>43554</v>
      </c>
      <c r="E853" s="3">
        <v>43992</v>
      </c>
      <c r="F853">
        <f t="shared" si="13"/>
        <v>124</v>
      </c>
    </row>
    <row r="854" spans="1:6" x14ac:dyDescent="0.25">
      <c r="A854">
        <v>55</v>
      </c>
      <c r="B854">
        <f>CalculateVacation(VLOOKUP(A854,'Employee Data'!A7:P106,16,FALSE),VLOOKUP(A854,'Employee Data'!A7:V106,22,FALSE))</f>
        <v>0</v>
      </c>
      <c r="C854">
        <v>5</v>
      </c>
      <c r="D854" s="3">
        <v>43650</v>
      </c>
      <c r="E854" s="3">
        <v>43658</v>
      </c>
      <c r="F854">
        <f t="shared" si="13"/>
        <v>-5</v>
      </c>
    </row>
    <row r="855" spans="1:6" x14ac:dyDescent="0.25">
      <c r="A855">
        <v>50</v>
      </c>
      <c r="B855">
        <f>CalculateVacation(VLOOKUP(A855,'Employee Data'!A7:P106,16,FALSE),VLOOKUP(A855,'Employee Data'!A7:V106,22,FALSE))</f>
        <v>144</v>
      </c>
      <c r="C855">
        <v>16</v>
      </c>
      <c r="D855" s="3">
        <v>43656</v>
      </c>
      <c r="E855" s="3">
        <v>44096</v>
      </c>
      <c r="F855">
        <f t="shared" si="13"/>
        <v>128</v>
      </c>
    </row>
    <row r="856" spans="1:6" x14ac:dyDescent="0.25">
      <c r="A856">
        <v>69</v>
      </c>
      <c r="B856">
        <f>CalculateVacation(VLOOKUP(A856,'Employee Data'!A7:P106,16,FALSE),VLOOKUP(A856,'Employee Data'!A7:V106,22,FALSE))</f>
        <v>250</v>
      </c>
      <c r="C856">
        <v>23</v>
      </c>
      <c r="D856" s="3">
        <v>44029</v>
      </c>
      <c r="E856" s="3">
        <v>44034</v>
      </c>
      <c r="F856">
        <f t="shared" si="13"/>
        <v>227</v>
      </c>
    </row>
    <row r="857" spans="1:6" x14ac:dyDescent="0.25">
      <c r="A857">
        <v>12</v>
      </c>
      <c r="B857">
        <f>CalculateVacation(VLOOKUP(A857,'Employee Data'!A7:P106,16,FALSE),VLOOKUP(A857,'Employee Data'!A7:V106,22,FALSE))</f>
        <v>636</v>
      </c>
      <c r="C857">
        <v>18</v>
      </c>
      <c r="D857" s="3">
        <v>43920</v>
      </c>
      <c r="E857" s="3">
        <v>43928</v>
      </c>
      <c r="F857">
        <f t="shared" si="13"/>
        <v>618</v>
      </c>
    </row>
    <row r="858" spans="1:6" x14ac:dyDescent="0.25">
      <c r="A858">
        <v>22</v>
      </c>
      <c r="B858">
        <f>CalculateVacation(VLOOKUP(A858,'Employee Data'!A7:P106,16,FALSE),VLOOKUP(A858,'Employee Data'!A7:V106,22,FALSE))</f>
        <v>43</v>
      </c>
      <c r="C858">
        <v>6</v>
      </c>
      <c r="D858" s="3">
        <v>44087</v>
      </c>
      <c r="E858" s="3">
        <v>44097</v>
      </c>
      <c r="F858">
        <f t="shared" si="13"/>
        <v>37</v>
      </c>
    </row>
    <row r="859" spans="1:6" x14ac:dyDescent="0.25">
      <c r="A859">
        <v>40</v>
      </c>
      <c r="B859">
        <f>CalculateVacation(VLOOKUP(A859,'Employee Data'!A7:P106,16,FALSE),VLOOKUP(A859,'Employee Data'!A7:V106,22,FALSE))</f>
        <v>672</v>
      </c>
      <c r="C859">
        <v>24</v>
      </c>
      <c r="D859" s="3">
        <v>44071</v>
      </c>
      <c r="E859" s="3">
        <v>44080</v>
      </c>
      <c r="F859">
        <f t="shared" si="13"/>
        <v>648</v>
      </c>
    </row>
    <row r="860" spans="1:6" x14ac:dyDescent="0.25">
      <c r="A860">
        <v>74</v>
      </c>
      <c r="B860">
        <f>CalculateVacation(VLOOKUP(A860,'Employee Data'!A7:P106,16,FALSE),VLOOKUP(A860,'Employee Data'!A7:V106,22,FALSE))</f>
        <v>417.5</v>
      </c>
      <c r="C860">
        <v>1</v>
      </c>
      <c r="D860" s="3">
        <v>43586</v>
      </c>
      <c r="E860" s="3">
        <v>43904</v>
      </c>
      <c r="F860">
        <f t="shared" si="13"/>
        <v>416.5</v>
      </c>
    </row>
    <row r="861" spans="1:6" x14ac:dyDescent="0.25">
      <c r="A861">
        <v>36</v>
      </c>
      <c r="B861">
        <f>CalculateVacation(VLOOKUP(A861,'Employee Data'!A7:P106,16,FALSE),VLOOKUP(A861,'Employee Data'!A7:V106,22,FALSE))</f>
        <v>675</v>
      </c>
      <c r="C861">
        <v>16</v>
      </c>
      <c r="D861" s="3">
        <v>43836</v>
      </c>
      <c r="E861" s="3">
        <v>43846</v>
      </c>
      <c r="F861">
        <f t="shared" si="13"/>
        <v>659</v>
      </c>
    </row>
    <row r="862" spans="1:6" x14ac:dyDescent="0.25">
      <c r="A862">
        <v>10</v>
      </c>
      <c r="B862">
        <f>CalculateVacation(VLOOKUP(A862,'Employee Data'!A7:P106,16,FALSE),VLOOKUP(A862,'Employee Data'!A7:V106,22,FALSE))</f>
        <v>150</v>
      </c>
      <c r="C862">
        <v>3</v>
      </c>
      <c r="D862" s="3">
        <v>43678</v>
      </c>
      <c r="E862" s="3">
        <v>43682</v>
      </c>
      <c r="F862">
        <f t="shared" si="13"/>
        <v>147</v>
      </c>
    </row>
    <row r="863" spans="1:6" x14ac:dyDescent="0.25">
      <c r="A863">
        <v>80</v>
      </c>
      <c r="B863">
        <f>CalculateVacation(VLOOKUP(A863,'Employee Data'!A7:P106,16,FALSE),VLOOKUP(A863,'Employee Data'!A7:V106,22,FALSE))</f>
        <v>254</v>
      </c>
      <c r="C863">
        <v>20</v>
      </c>
      <c r="D863" s="3">
        <v>44069</v>
      </c>
      <c r="E863" s="3">
        <v>44076</v>
      </c>
      <c r="F863">
        <f t="shared" si="13"/>
        <v>234</v>
      </c>
    </row>
    <row r="864" spans="1:6" x14ac:dyDescent="0.25">
      <c r="A864">
        <v>51</v>
      </c>
      <c r="B864">
        <f>CalculateVacation(VLOOKUP(A864,'Employee Data'!A7:P106,16,FALSE),VLOOKUP(A864,'Employee Data'!A7:V106,22,FALSE))</f>
        <v>0</v>
      </c>
      <c r="C864">
        <v>8</v>
      </c>
      <c r="D864" s="3">
        <v>43722</v>
      </c>
      <c r="E864" s="3">
        <v>43971</v>
      </c>
      <c r="F864">
        <f t="shared" si="13"/>
        <v>-8</v>
      </c>
    </row>
    <row r="865" spans="1:6" x14ac:dyDescent="0.25">
      <c r="A865">
        <v>8</v>
      </c>
      <c r="B865">
        <f>CalculateVacation(VLOOKUP(A865,'Employee Data'!A7:P106,16,FALSE),VLOOKUP(A865,'Employee Data'!A7:V106,22,FALSE))</f>
        <v>588</v>
      </c>
      <c r="C865">
        <v>30</v>
      </c>
      <c r="D865" s="3">
        <v>44026</v>
      </c>
      <c r="E865" s="3">
        <v>44030</v>
      </c>
      <c r="F865">
        <f t="shared" si="13"/>
        <v>558</v>
      </c>
    </row>
    <row r="866" spans="1:6" x14ac:dyDescent="0.25">
      <c r="A866">
        <v>13</v>
      </c>
      <c r="B866">
        <f>CalculateVacation(VLOOKUP(A866,'Employee Data'!A7:P106,16,FALSE),VLOOKUP(A866,'Employee Data'!A7:V106,22,FALSE))</f>
        <v>633</v>
      </c>
      <c r="C866">
        <v>15</v>
      </c>
      <c r="D866" s="3">
        <v>43509</v>
      </c>
      <c r="E866" s="3">
        <v>44022</v>
      </c>
      <c r="F866">
        <f t="shared" si="13"/>
        <v>618</v>
      </c>
    </row>
    <row r="867" spans="1:6" x14ac:dyDescent="0.25">
      <c r="A867">
        <v>22</v>
      </c>
      <c r="B867">
        <f>CalculateVacation(VLOOKUP(A867,'Employee Data'!A7:P106,16,FALSE),VLOOKUP(A867,'Employee Data'!A7:V106,22,FALSE))</f>
        <v>43</v>
      </c>
      <c r="C867">
        <v>29</v>
      </c>
      <c r="D867" s="3">
        <v>44007</v>
      </c>
      <c r="E867" s="3">
        <v>44010</v>
      </c>
      <c r="F867">
        <f t="shared" si="13"/>
        <v>14</v>
      </c>
    </row>
    <row r="868" spans="1:6" x14ac:dyDescent="0.25">
      <c r="A868">
        <v>21</v>
      </c>
      <c r="B868">
        <f>CalculateVacation(VLOOKUP(A868,'Employee Data'!A7:P106,16,FALSE),VLOOKUP(A868,'Employee Data'!A7:V106,22,FALSE))</f>
        <v>175.5</v>
      </c>
      <c r="C868">
        <v>18</v>
      </c>
      <c r="D868" s="3">
        <v>43798</v>
      </c>
      <c r="E868" s="3">
        <v>43804</v>
      </c>
      <c r="F868">
        <f t="shared" si="13"/>
        <v>157.5</v>
      </c>
    </row>
    <row r="869" spans="1:6" x14ac:dyDescent="0.25">
      <c r="A869">
        <v>13</v>
      </c>
      <c r="B869">
        <f>CalculateVacation(VLOOKUP(A869,'Employee Data'!A7:P106,16,FALSE),VLOOKUP(A869,'Employee Data'!A7:V106,22,FALSE))</f>
        <v>633</v>
      </c>
      <c r="C869">
        <v>10</v>
      </c>
      <c r="D869" s="3">
        <v>43491</v>
      </c>
      <c r="E869" s="3">
        <v>43499</v>
      </c>
      <c r="F869">
        <f t="shared" si="13"/>
        <v>623</v>
      </c>
    </row>
    <row r="870" spans="1:6" x14ac:dyDescent="0.25">
      <c r="A870">
        <v>77</v>
      </c>
      <c r="B870">
        <f>CalculateVacation(VLOOKUP(A870,'Employee Data'!A7:P106,16,FALSE),VLOOKUP(A870,'Employee Data'!A7:V106,22,FALSE))</f>
        <v>437.5</v>
      </c>
      <c r="C870">
        <v>1</v>
      </c>
      <c r="D870" s="3">
        <v>43660</v>
      </c>
      <c r="E870" s="3">
        <v>43666</v>
      </c>
      <c r="F870">
        <f t="shared" si="13"/>
        <v>436.5</v>
      </c>
    </row>
    <row r="871" spans="1:6" x14ac:dyDescent="0.25">
      <c r="A871">
        <v>17</v>
      </c>
      <c r="B871">
        <f>CalculateVacation(VLOOKUP(A871,'Employee Data'!A7:P106,16,FALSE),VLOOKUP(A871,'Employee Data'!A7:V106,22,FALSE))</f>
        <v>30</v>
      </c>
      <c r="C871">
        <v>19</v>
      </c>
      <c r="D871" s="3">
        <v>43890</v>
      </c>
      <c r="E871" s="3">
        <v>43897</v>
      </c>
      <c r="F871">
        <f t="shared" si="13"/>
        <v>11</v>
      </c>
    </row>
    <row r="872" spans="1:6" x14ac:dyDescent="0.25">
      <c r="A872">
        <v>46</v>
      </c>
      <c r="B872">
        <f>CalculateVacation(VLOOKUP(A872,'Employee Data'!A7:P106,16,FALSE),VLOOKUP(A872,'Employee Data'!A7:V106,22,FALSE))</f>
        <v>50</v>
      </c>
      <c r="C872">
        <v>18</v>
      </c>
      <c r="D872" s="3">
        <v>43898</v>
      </c>
      <c r="E872" s="3">
        <v>43902</v>
      </c>
      <c r="F872">
        <f t="shared" si="13"/>
        <v>32</v>
      </c>
    </row>
    <row r="873" spans="1:6" x14ac:dyDescent="0.25">
      <c r="A873">
        <v>72</v>
      </c>
      <c r="B873">
        <f>CalculateVacation(VLOOKUP(A873,'Employee Data'!A7:P106,16,FALSE),VLOOKUP(A873,'Employee Data'!A7:V106,22,FALSE))</f>
        <v>537</v>
      </c>
      <c r="C873">
        <v>10</v>
      </c>
      <c r="D873" s="3">
        <v>43735</v>
      </c>
      <c r="E873" s="3">
        <v>44076</v>
      </c>
      <c r="F873">
        <f t="shared" si="13"/>
        <v>527</v>
      </c>
    </row>
    <row r="874" spans="1:6" x14ac:dyDescent="0.25">
      <c r="A874">
        <v>62</v>
      </c>
      <c r="B874">
        <f>CalculateVacation(VLOOKUP(A874,'Employee Data'!A7:P106,16,FALSE),VLOOKUP(A874,'Employee Data'!A7:V106,22,FALSE))</f>
        <v>651</v>
      </c>
      <c r="C874">
        <v>23</v>
      </c>
      <c r="D874" s="3">
        <v>43728</v>
      </c>
      <c r="E874" s="3">
        <v>43805</v>
      </c>
      <c r="F874">
        <f t="shared" si="13"/>
        <v>628</v>
      </c>
    </row>
    <row r="875" spans="1:6" x14ac:dyDescent="0.25">
      <c r="A875">
        <v>24</v>
      </c>
      <c r="B875">
        <f>CalculateVacation(VLOOKUP(A875,'Employee Data'!A7:P106,16,FALSE),VLOOKUP(A875,'Employee Data'!A7:V106,22,FALSE))</f>
        <v>432.5</v>
      </c>
      <c r="C875">
        <v>17</v>
      </c>
      <c r="D875" s="3">
        <v>43573</v>
      </c>
      <c r="E875" s="3">
        <v>43580</v>
      </c>
      <c r="F875">
        <f t="shared" si="13"/>
        <v>415.5</v>
      </c>
    </row>
    <row r="876" spans="1:6" x14ac:dyDescent="0.25">
      <c r="A876">
        <v>5</v>
      </c>
      <c r="B876">
        <f>CalculateVacation(VLOOKUP(A876,'Employee Data'!A7:P106,16,FALSE),VLOOKUP(A876,'Employee Data'!A7:V106,22,FALSE))</f>
        <v>417.5</v>
      </c>
      <c r="C876">
        <v>3</v>
      </c>
      <c r="D876" s="3">
        <v>43588</v>
      </c>
      <c r="E876" s="3">
        <v>44073</v>
      </c>
      <c r="F876">
        <f t="shared" si="13"/>
        <v>414.5</v>
      </c>
    </row>
    <row r="877" spans="1:6" x14ac:dyDescent="0.25">
      <c r="A877">
        <v>38</v>
      </c>
      <c r="B877">
        <f>CalculateVacation(VLOOKUP(A877,'Employee Data'!A7:P106,16,FALSE),VLOOKUP(A877,'Employee Data'!A7:V106,22,FALSE))</f>
        <v>387.5</v>
      </c>
      <c r="C877">
        <v>1</v>
      </c>
      <c r="D877" s="3">
        <v>43741</v>
      </c>
      <c r="E877" s="3">
        <v>43748</v>
      </c>
      <c r="F877">
        <f t="shared" si="13"/>
        <v>386.5</v>
      </c>
    </row>
    <row r="878" spans="1:6" x14ac:dyDescent="0.25">
      <c r="A878">
        <v>51</v>
      </c>
      <c r="B878">
        <f>CalculateVacation(VLOOKUP(A878,'Employee Data'!A7:P106,16,FALSE),VLOOKUP(A878,'Employee Data'!A7:V106,22,FALSE))</f>
        <v>0</v>
      </c>
      <c r="C878">
        <v>13</v>
      </c>
      <c r="D878" s="3">
        <v>43939</v>
      </c>
      <c r="E878" s="3">
        <v>43947</v>
      </c>
      <c r="F878">
        <f t="shared" si="13"/>
        <v>-13</v>
      </c>
    </row>
    <row r="879" spans="1:6" x14ac:dyDescent="0.25">
      <c r="A879">
        <v>1</v>
      </c>
      <c r="B879">
        <f>CalculateVacation(VLOOKUP(A879,'Employee Data'!A7:P106,16,FALSE),VLOOKUP(A879,'Employee Data'!A7:V106,22,FALSE))</f>
        <v>244</v>
      </c>
      <c r="C879">
        <v>30</v>
      </c>
      <c r="D879" s="3">
        <v>43692</v>
      </c>
      <c r="E879" s="3">
        <v>43847</v>
      </c>
      <c r="F879">
        <f t="shared" si="13"/>
        <v>214</v>
      </c>
    </row>
    <row r="880" spans="1:6" x14ac:dyDescent="0.25">
      <c r="A880">
        <v>64</v>
      </c>
      <c r="B880">
        <f>CalculateVacation(VLOOKUP(A880,'Employee Data'!A7:P106,16,FALSE),VLOOKUP(A880,'Employee Data'!A7:V106,22,FALSE))</f>
        <v>39</v>
      </c>
      <c r="C880">
        <v>26</v>
      </c>
      <c r="D880" s="3">
        <v>43765</v>
      </c>
      <c r="E880" s="3">
        <v>43902</v>
      </c>
      <c r="F880">
        <f t="shared" si="13"/>
        <v>13</v>
      </c>
    </row>
    <row r="881" spans="1:6" x14ac:dyDescent="0.25">
      <c r="A881">
        <v>80</v>
      </c>
      <c r="B881">
        <f>CalculateVacation(VLOOKUP(A881,'Employee Data'!A7:P106,16,FALSE),VLOOKUP(A881,'Employee Data'!A7:V106,22,FALSE))</f>
        <v>254</v>
      </c>
      <c r="C881">
        <v>17</v>
      </c>
      <c r="D881" s="3">
        <v>43600</v>
      </c>
      <c r="E881" s="3">
        <v>43890</v>
      </c>
      <c r="F881">
        <f t="shared" si="13"/>
        <v>237</v>
      </c>
    </row>
    <row r="882" spans="1:6" x14ac:dyDescent="0.25">
      <c r="A882">
        <v>40</v>
      </c>
      <c r="B882">
        <f>CalculateVacation(VLOOKUP(A882,'Employee Data'!A7:P106,16,FALSE),VLOOKUP(A882,'Employee Data'!A7:V106,22,FALSE))</f>
        <v>672</v>
      </c>
      <c r="C882">
        <v>17</v>
      </c>
      <c r="D882" s="3">
        <v>43630</v>
      </c>
      <c r="E882" s="3">
        <v>43634</v>
      </c>
      <c r="F882">
        <f t="shared" si="13"/>
        <v>655</v>
      </c>
    </row>
    <row r="883" spans="1:6" x14ac:dyDescent="0.25">
      <c r="A883">
        <v>36</v>
      </c>
      <c r="B883">
        <f>CalculateVacation(VLOOKUP(A883,'Employee Data'!A7:P106,16,FALSE),VLOOKUP(A883,'Employee Data'!A7:V106,22,FALSE))</f>
        <v>675</v>
      </c>
      <c r="C883">
        <v>24</v>
      </c>
      <c r="D883" s="3">
        <v>43730</v>
      </c>
      <c r="E883" s="3">
        <v>43858</v>
      </c>
      <c r="F883">
        <f t="shared" si="13"/>
        <v>651</v>
      </c>
    </row>
    <row r="884" spans="1:6" x14ac:dyDescent="0.25">
      <c r="A884">
        <v>80</v>
      </c>
      <c r="B884">
        <f>CalculateVacation(VLOOKUP(A884,'Employee Data'!A7:P106,16,FALSE),VLOOKUP(A884,'Employee Data'!A7:V106,22,FALSE))</f>
        <v>254</v>
      </c>
      <c r="C884">
        <v>24</v>
      </c>
      <c r="D884" s="3">
        <v>43696</v>
      </c>
      <c r="E884" s="3">
        <v>43901</v>
      </c>
      <c r="F884">
        <f t="shared" si="13"/>
        <v>230</v>
      </c>
    </row>
    <row r="885" spans="1:6" x14ac:dyDescent="0.25">
      <c r="A885">
        <v>59</v>
      </c>
      <c r="B885">
        <f>CalculateVacation(VLOOKUP(A885,'Employee Data'!A7:P106,16,FALSE),VLOOKUP(A885,'Employee Data'!A7:V106,22,FALSE))</f>
        <v>54</v>
      </c>
      <c r="C885">
        <v>12</v>
      </c>
      <c r="D885" s="3">
        <v>43537</v>
      </c>
      <c r="E885" s="3">
        <v>43788</v>
      </c>
      <c r="F885">
        <f t="shared" si="13"/>
        <v>42</v>
      </c>
    </row>
    <row r="886" spans="1:6" x14ac:dyDescent="0.25">
      <c r="A886">
        <v>15</v>
      </c>
      <c r="B886">
        <f>CalculateVacation(VLOOKUP(A886,'Employee Data'!A7:P106,16,FALSE),VLOOKUP(A886,'Employee Data'!A7:V106,22,FALSE))</f>
        <v>651</v>
      </c>
      <c r="C886">
        <v>5</v>
      </c>
      <c r="D886" s="3">
        <v>43693</v>
      </c>
      <c r="E886" s="3">
        <v>43721</v>
      </c>
      <c r="F886">
        <f t="shared" si="13"/>
        <v>646</v>
      </c>
    </row>
    <row r="887" spans="1:6" x14ac:dyDescent="0.25">
      <c r="A887">
        <v>33</v>
      </c>
      <c r="B887">
        <f>CalculateVacation(VLOOKUP(A887,'Employee Data'!A7:P106,16,FALSE),VLOOKUP(A887,'Employee Data'!A7:V106,22,FALSE))</f>
        <v>437.5</v>
      </c>
      <c r="C887">
        <v>3</v>
      </c>
      <c r="D887" s="3">
        <v>43611</v>
      </c>
      <c r="E887" s="3">
        <v>43758</v>
      </c>
      <c r="F887">
        <f t="shared" si="13"/>
        <v>434.5</v>
      </c>
    </row>
    <row r="888" spans="1:6" x14ac:dyDescent="0.25">
      <c r="A888">
        <v>52</v>
      </c>
      <c r="B888">
        <f>CalculateVacation(VLOOKUP(A888,'Employee Data'!A7:P106,16,FALSE),VLOOKUP(A888,'Employee Data'!A7:V106,22,FALSE))</f>
        <v>8</v>
      </c>
      <c r="C888">
        <v>18</v>
      </c>
      <c r="D888" s="3">
        <v>44060</v>
      </c>
      <c r="E888" s="3">
        <v>44068</v>
      </c>
      <c r="F888">
        <f t="shared" si="13"/>
        <v>-10</v>
      </c>
    </row>
    <row r="889" spans="1:6" x14ac:dyDescent="0.25">
      <c r="A889">
        <v>28</v>
      </c>
      <c r="B889">
        <f>CalculateVacation(VLOOKUP(A889,'Employee Data'!A7:P106,16,FALSE),VLOOKUP(A889,'Employee Data'!A7:V106,22,FALSE))</f>
        <v>15.5</v>
      </c>
      <c r="C889">
        <v>22</v>
      </c>
      <c r="D889" s="3">
        <v>43908</v>
      </c>
      <c r="E889" s="3">
        <v>43938</v>
      </c>
      <c r="F889">
        <f t="shared" si="13"/>
        <v>-6.5</v>
      </c>
    </row>
    <row r="890" spans="1:6" x14ac:dyDescent="0.25">
      <c r="A890">
        <v>87</v>
      </c>
      <c r="B890">
        <f>CalculateVacation(VLOOKUP(A890,'Employee Data'!A7:P106,16,FALSE),VLOOKUP(A890,'Employee Data'!A7:V106,22,FALSE))</f>
        <v>537</v>
      </c>
      <c r="C890">
        <v>29</v>
      </c>
      <c r="D890" s="3">
        <v>43488</v>
      </c>
      <c r="E890" s="3">
        <v>43782</v>
      </c>
      <c r="F890">
        <f t="shared" si="13"/>
        <v>508</v>
      </c>
    </row>
    <row r="891" spans="1:6" x14ac:dyDescent="0.25">
      <c r="A891">
        <v>79</v>
      </c>
      <c r="B891">
        <f>CalculateVacation(VLOOKUP(A891,'Employee Data'!A7:P106,16,FALSE),VLOOKUP(A891,'Employee Data'!A7:V106,22,FALSE))</f>
        <v>543</v>
      </c>
      <c r="C891">
        <v>29</v>
      </c>
      <c r="D891" s="3">
        <v>44099</v>
      </c>
      <c r="E891" s="3">
        <v>44102</v>
      </c>
      <c r="F891">
        <f t="shared" si="13"/>
        <v>514</v>
      </c>
    </row>
    <row r="892" spans="1:6" x14ac:dyDescent="0.25">
      <c r="A892">
        <v>21</v>
      </c>
      <c r="B892">
        <f>CalculateVacation(VLOOKUP(A892,'Employee Data'!A7:P106,16,FALSE),VLOOKUP(A892,'Employee Data'!A7:V106,22,FALSE))</f>
        <v>175.5</v>
      </c>
      <c r="C892">
        <v>4</v>
      </c>
      <c r="D892" s="3">
        <v>44013</v>
      </c>
      <c r="E892" s="3">
        <v>44020</v>
      </c>
      <c r="F892">
        <f t="shared" si="13"/>
        <v>171.5</v>
      </c>
    </row>
    <row r="893" spans="1:6" x14ac:dyDescent="0.25">
      <c r="A893">
        <v>2</v>
      </c>
      <c r="B893">
        <f>CalculateVacation(VLOOKUP(A893,'Employee Data'!A7:P106,16,FALSE),VLOOKUP(A893,'Employee Data'!A7:V106,22,FALSE))</f>
        <v>130.5</v>
      </c>
      <c r="C893">
        <v>13</v>
      </c>
      <c r="D893" s="3">
        <v>43535</v>
      </c>
      <c r="E893" s="3">
        <v>44006</v>
      </c>
      <c r="F893">
        <f t="shared" si="13"/>
        <v>117.5</v>
      </c>
    </row>
    <row r="894" spans="1:6" x14ac:dyDescent="0.25">
      <c r="A894">
        <v>69</v>
      </c>
      <c r="B894">
        <f>CalculateVacation(VLOOKUP(A894,'Employee Data'!A7:P106,16,FALSE),VLOOKUP(A894,'Employee Data'!A7:V106,22,FALSE))</f>
        <v>250</v>
      </c>
      <c r="C894">
        <v>27</v>
      </c>
      <c r="D894" s="3">
        <v>43470</v>
      </c>
      <c r="E894" s="3">
        <v>43725</v>
      </c>
      <c r="F894">
        <f t="shared" si="13"/>
        <v>223</v>
      </c>
    </row>
    <row r="895" spans="1:6" x14ac:dyDescent="0.25">
      <c r="A895">
        <v>82</v>
      </c>
      <c r="B895">
        <f>CalculateVacation(VLOOKUP(A895,'Employee Data'!A7:P106,16,FALSE),VLOOKUP(A895,'Employee Data'!A7:V106,22,FALSE))</f>
        <v>0</v>
      </c>
      <c r="C895">
        <v>20</v>
      </c>
      <c r="D895" s="3">
        <v>43559</v>
      </c>
      <c r="E895" s="3">
        <v>43730</v>
      </c>
      <c r="F895">
        <f t="shared" si="13"/>
        <v>-20</v>
      </c>
    </row>
    <row r="896" spans="1:6" x14ac:dyDescent="0.25">
      <c r="A896">
        <v>53</v>
      </c>
      <c r="B896">
        <f>CalculateVacation(VLOOKUP(A896,'Employee Data'!A7:P106,16,FALSE),VLOOKUP(A896,'Employee Data'!A7:V106,22,FALSE))</f>
        <v>630</v>
      </c>
      <c r="C896">
        <v>18</v>
      </c>
      <c r="D896" s="3">
        <v>43762</v>
      </c>
      <c r="E896" s="3">
        <v>43785</v>
      </c>
      <c r="F896">
        <f t="shared" si="13"/>
        <v>612</v>
      </c>
    </row>
    <row r="897" spans="1:6" x14ac:dyDescent="0.25">
      <c r="A897">
        <v>40</v>
      </c>
      <c r="B897">
        <f>CalculateVacation(VLOOKUP(A897,'Employee Data'!A7:P106,16,FALSE),VLOOKUP(A897,'Employee Data'!A7:V106,22,FALSE))</f>
        <v>672</v>
      </c>
      <c r="C897">
        <v>23</v>
      </c>
      <c r="D897" s="3">
        <v>43944</v>
      </c>
      <c r="E897" s="3">
        <v>43950</v>
      </c>
      <c r="F897">
        <f t="shared" si="13"/>
        <v>649</v>
      </c>
    </row>
    <row r="898" spans="1:6" x14ac:dyDescent="0.25">
      <c r="A898">
        <v>31</v>
      </c>
      <c r="B898">
        <f>CalculateVacation(VLOOKUP(A898,'Employee Data'!A7:P106,16,FALSE),VLOOKUP(A898,'Employee Data'!A7:V106,22,FALSE))</f>
        <v>570</v>
      </c>
      <c r="C898">
        <v>16</v>
      </c>
      <c r="D898" s="3">
        <v>43874</v>
      </c>
      <c r="E898" s="3">
        <v>43880</v>
      </c>
      <c r="F898">
        <f t="shared" si="13"/>
        <v>554</v>
      </c>
    </row>
    <row r="899" spans="1:6" x14ac:dyDescent="0.25">
      <c r="A899">
        <v>32</v>
      </c>
      <c r="B899">
        <f>CalculateVacation(VLOOKUP(A899,'Employee Data'!A7:P106,16,FALSE),VLOOKUP(A899,'Employee Data'!A7:V106,22,FALSE))</f>
        <v>238</v>
      </c>
      <c r="C899">
        <v>22</v>
      </c>
      <c r="D899" s="3">
        <v>44018</v>
      </c>
      <c r="E899" s="3">
        <v>44022</v>
      </c>
      <c r="F899">
        <f t="shared" si="13"/>
        <v>216</v>
      </c>
    </row>
    <row r="900" spans="1:6" x14ac:dyDescent="0.25">
      <c r="A900">
        <v>55</v>
      </c>
      <c r="B900">
        <f>CalculateVacation(VLOOKUP(A900,'Employee Data'!A7:P106,16,FALSE),VLOOKUP(A900,'Employee Data'!A7:V106,22,FALSE))</f>
        <v>0</v>
      </c>
      <c r="C900">
        <v>27</v>
      </c>
      <c r="D900" s="3">
        <v>43925</v>
      </c>
      <c r="E900" s="3">
        <v>44102</v>
      </c>
      <c r="F900">
        <f t="shared" si="13"/>
        <v>-27</v>
      </c>
    </row>
    <row r="901" spans="1:6" x14ac:dyDescent="0.25">
      <c r="A901">
        <v>13</v>
      </c>
      <c r="B901">
        <f>CalculateVacation(VLOOKUP(A901,'Employee Data'!A7:P106,16,FALSE),VLOOKUP(A901,'Employee Data'!A7:V106,22,FALSE))</f>
        <v>633</v>
      </c>
      <c r="C901">
        <v>7</v>
      </c>
      <c r="D901" s="3">
        <v>44023</v>
      </c>
      <c r="E901" s="3">
        <v>44104</v>
      </c>
      <c r="F901">
        <f t="shared" si="13"/>
        <v>626</v>
      </c>
    </row>
    <row r="902" spans="1:6" x14ac:dyDescent="0.25">
      <c r="A902">
        <v>60</v>
      </c>
      <c r="B902">
        <f>CalculateVacation(VLOOKUP(A902,'Employee Data'!A7:P106,16,FALSE),VLOOKUP(A902,'Employee Data'!A7:V106,22,FALSE))</f>
        <v>0</v>
      </c>
      <c r="C902">
        <v>29</v>
      </c>
      <c r="D902" s="3">
        <v>43920</v>
      </c>
      <c r="E902" s="3">
        <v>43931</v>
      </c>
      <c r="F902">
        <f t="shared" si="13"/>
        <v>-29</v>
      </c>
    </row>
    <row r="903" spans="1:6" x14ac:dyDescent="0.25">
      <c r="A903">
        <v>39</v>
      </c>
      <c r="B903">
        <f>CalculateVacation(VLOOKUP(A903,'Employee Data'!A7:P106,16,FALSE),VLOOKUP(A903,'Employee Data'!A7:V106,22,FALSE))</f>
        <v>0</v>
      </c>
      <c r="C903">
        <v>15</v>
      </c>
      <c r="D903" s="3">
        <v>44090</v>
      </c>
      <c r="E903" s="3">
        <v>44092</v>
      </c>
      <c r="F903">
        <f t="shared" si="13"/>
        <v>-15</v>
      </c>
    </row>
    <row r="904" spans="1:6" x14ac:dyDescent="0.25">
      <c r="A904">
        <v>89</v>
      </c>
      <c r="B904">
        <f>CalculateVacation(VLOOKUP(A904,'Employee Data'!A7:P106,16,FALSE),VLOOKUP(A904,'Employee Data'!A7:V106,22,FALSE))</f>
        <v>126</v>
      </c>
      <c r="C904">
        <v>30</v>
      </c>
      <c r="D904" s="3">
        <v>44060</v>
      </c>
      <c r="E904" s="3">
        <v>44068</v>
      </c>
      <c r="F904">
        <f t="shared" ref="F904:F967" si="14">B904-C904</f>
        <v>96</v>
      </c>
    </row>
    <row r="905" spans="1:6" x14ac:dyDescent="0.25">
      <c r="A905">
        <v>10</v>
      </c>
      <c r="B905">
        <f>CalculateVacation(VLOOKUP(A905,'Employee Data'!A7:P106,16,FALSE),VLOOKUP(A905,'Employee Data'!A7:V106,22,FALSE))</f>
        <v>150</v>
      </c>
      <c r="C905">
        <v>6</v>
      </c>
      <c r="D905" s="3">
        <v>43804</v>
      </c>
      <c r="E905" s="3">
        <v>44029</v>
      </c>
      <c r="F905">
        <f t="shared" si="14"/>
        <v>144</v>
      </c>
    </row>
    <row r="906" spans="1:6" x14ac:dyDescent="0.25">
      <c r="A906">
        <v>57</v>
      </c>
      <c r="B906">
        <f>CalculateVacation(VLOOKUP(A906,'Employee Data'!A7:P106,16,FALSE),VLOOKUP(A906,'Employee Data'!A7:V106,22,FALSE))</f>
        <v>99</v>
      </c>
      <c r="C906">
        <v>8</v>
      </c>
      <c r="D906" s="3">
        <v>44043</v>
      </c>
      <c r="E906" s="3">
        <v>44046</v>
      </c>
      <c r="F906">
        <f t="shared" si="14"/>
        <v>91</v>
      </c>
    </row>
    <row r="907" spans="1:6" x14ac:dyDescent="0.25">
      <c r="A907">
        <v>48</v>
      </c>
      <c r="B907">
        <f>CalculateVacation(VLOOKUP(A907,'Employee Data'!A7:P106,16,FALSE),VLOOKUP(A907,'Employee Data'!A7:V106,22,FALSE))</f>
        <v>174</v>
      </c>
      <c r="C907">
        <v>4</v>
      </c>
      <c r="D907" s="3">
        <v>43884</v>
      </c>
      <c r="E907" s="3">
        <v>43983</v>
      </c>
      <c r="F907">
        <f t="shared" si="14"/>
        <v>170</v>
      </c>
    </row>
    <row r="908" spans="1:6" x14ac:dyDescent="0.25">
      <c r="A908">
        <v>3</v>
      </c>
      <c r="B908">
        <f>CalculateVacation(VLOOKUP(A908,'Employee Data'!A7:P106,16,FALSE),VLOOKUP(A908,'Employee Data'!A7:V106,22,FALSE))</f>
        <v>238</v>
      </c>
      <c r="C908">
        <v>3</v>
      </c>
      <c r="D908" s="3">
        <v>43831</v>
      </c>
      <c r="E908" s="3">
        <v>43833</v>
      </c>
      <c r="F908">
        <f t="shared" si="14"/>
        <v>235</v>
      </c>
    </row>
    <row r="909" spans="1:6" x14ac:dyDescent="0.25">
      <c r="A909">
        <v>98</v>
      </c>
      <c r="B909">
        <f>CalculateVacation(VLOOKUP(A909,'Employee Data'!A7:P106,16,FALSE),VLOOKUP(A909,'Employee Data'!A7:V106,22,FALSE))</f>
        <v>648</v>
      </c>
      <c r="C909">
        <v>19</v>
      </c>
      <c r="D909" s="3">
        <v>43801</v>
      </c>
      <c r="E909" s="3">
        <v>43963</v>
      </c>
      <c r="F909">
        <f t="shared" si="14"/>
        <v>629</v>
      </c>
    </row>
    <row r="910" spans="1:6" x14ac:dyDescent="0.25">
      <c r="A910">
        <v>97</v>
      </c>
      <c r="B910">
        <f>CalculateVacation(VLOOKUP(A910,'Employee Data'!A7:P106,16,FALSE),VLOOKUP(A910,'Employee Data'!A7:V106,22,FALSE))</f>
        <v>355</v>
      </c>
      <c r="C910">
        <v>25</v>
      </c>
      <c r="D910" s="3">
        <v>43623</v>
      </c>
      <c r="E910" s="3">
        <v>43627</v>
      </c>
      <c r="F910">
        <f t="shared" si="14"/>
        <v>330</v>
      </c>
    </row>
    <row r="911" spans="1:6" x14ac:dyDescent="0.25">
      <c r="A911">
        <v>9</v>
      </c>
      <c r="B911">
        <f>CalculateVacation(VLOOKUP(A911,'Employee Data'!A7:P106,16,FALSE),VLOOKUP(A911,'Employee Data'!A7:V106,22,FALSE))</f>
        <v>36</v>
      </c>
      <c r="C911">
        <v>30</v>
      </c>
      <c r="D911" s="3">
        <v>43723</v>
      </c>
      <c r="E911" s="3">
        <v>43851</v>
      </c>
      <c r="F911">
        <f t="shared" si="14"/>
        <v>6</v>
      </c>
    </row>
    <row r="912" spans="1:6" x14ac:dyDescent="0.25">
      <c r="A912">
        <v>77</v>
      </c>
      <c r="B912">
        <f>CalculateVacation(VLOOKUP(A912,'Employee Data'!A7:P106,16,FALSE),VLOOKUP(A912,'Employee Data'!A7:V106,22,FALSE))</f>
        <v>437.5</v>
      </c>
      <c r="C912">
        <v>14</v>
      </c>
      <c r="D912" s="3">
        <v>43829</v>
      </c>
      <c r="E912" s="3">
        <v>43941</v>
      </c>
      <c r="F912">
        <f t="shared" si="14"/>
        <v>423.5</v>
      </c>
    </row>
    <row r="913" spans="1:6" x14ac:dyDescent="0.25">
      <c r="A913">
        <v>59</v>
      </c>
      <c r="B913">
        <f>CalculateVacation(VLOOKUP(A913,'Employee Data'!A7:P106,16,FALSE),VLOOKUP(A913,'Employee Data'!A7:V106,22,FALSE))</f>
        <v>54</v>
      </c>
      <c r="C913">
        <v>11</v>
      </c>
      <c r="D913" s="3">
        <v>44080</v>
      </c>
      <c r="E913" s="3">
        <v>44087</v>
      </c>
      <c r="F913">
        <f t="shared" si="14"/>
        <v>43</v>
      </c>
    </row>
    <row r="914" spans="1:6" x14ac:dyDescent="0.25">
      <c r="A914">
        <v>28</v>
      </c>
      <c r="B914">
        <f>CalculateVacation(VLOOKUP(A914,'Employee Data'!A7:P106,16,FALSE),VLOOKUP(A914,'Employee Data'!A7:V106,22,FALSE))</f>
        <v>15.5</v>
      </c>
      <c r="C914">
        <v>15</v>
      </c>
      <c r="D914" s="3">
        <v>43639</v>
      </c>
      <c r="E914" s="3">
        <v>43728</v>
      </c>
      <c r="F914">
        <f t="shared" si="14"/>
        <v>0.5</v>
      </c>
    </row>
    <row r="915" spans="1:6" x14ac:dyDescent="0.25">
      <c r="A915">
        <v>12</v>
      </c>
      <c r="B915">
        <f>CalculateVacation(VLOOKUP(A915,'Employee Data'!A7:P106,16,FALSE),VLOOKUP(A915,'Employee Data'!A7:V106,22,FALSE))</f>
        <v>636</v>
      </c>
      <c r="C915">
        <v>29</v>
      </c>
      <c r="D915" s="3">
        <v>44085</v>
      </c>
      <c r="E915" s="3">
        <v>44089</v>
      </c>
      <c r="F915">
        <f t="shared" si="14"/>
        <v>607</v>
      </c>
    </row>
    <row r="916" spans="1:6" x14ac:dyDescent="0.25">
      <c r="A916">
        <v>25</v>
      </c>
      <c r="B916">
        <f>CalculateVacation(VLOOKUP(A916,'Employee Data'!A7:P106,16,FALSE),VLOOKUP(A916,'Employee Data'!A7:V106,22,FALSE))</f>
        <v>52</v>
      </c>
      <c r="C916">
        <v>1</v>
      </c>
      <c r="D916" s="3">
        <v>44014</v>
      </c>
      <c r="E916" s="3">
        <v>44023</v>
      </c>
      <c r="F916">
        <f t="shared" si="14"/>
        <v>51</v>
      </c>
    </row>
    <row r="917" spans="1:6" x14ac:dyDescent="0.25">
      <c r="A917">
        <v>15</v>
      </c>
      <c r="B917">
        <f>CalculateVacation(VLOOKUP(A917,'Employee Data'!A7:P106,16,FALSE),VLOOKUP(A917,'Employee Data'!A7:V106,22,FALSE))</f>
        <v>651</v>
      </c>
      <c r="C917">
        <v>10</v>
      </c>
      <c r="D917" s="3">
        <v>44049</v>
      </c>
      <c r="E917" s="3">
        <v>44072</v>
      </c>
      <c r="F917">
        <f t="shared" si="14"/>
        <v>641</v>
      </c>
    </row>
    <row r="918" spans="1:6" x14ac:dyDescent="0.25">
      <c r="A918">
        <v>11</v>
      </c>
      <c r="B918">
        <f>CalculateVacation(VLOOKUP(A918,'Employee Data'!A7:P106,16,FALSE),VLOOKUP(A918,'Employee Data'!A7:V106,22,FALSE))</f>
        <v>417.5</v>
      </c>
      <c r="C918">
        <v>3</v>
      </c>
      <c r="D918" s="3">
        <v>43537</v>
      </c>
      <c r="E918" s="3">
        <v>43880</v>
      </c>
      <c r="F918">
        <f t="shared" si="14"/>
        <v>414.5</v>
      </c>
    </row>
    <row r="919" spans="1:6" x14ac:dyDescent="0.25">
      <c r="A919">
        <v>63</v>
      </c>
      <c r="B919">
        <f>CalculateVacation(VLOOKUP(A919,'Employee Data'!A7:P106,16,FALSE),VLOOKUP(A919,'Employee Data'!A7:V106,22,FALSE))</f>
        <v>246</v>
      </c>
      <c r="C919">
        <v>18</v>
      </c>
      <c r="D919" s="3">
        <v>44050</v>
      </c>
      <c r="E919" s="3">
        <v>44056</v>
      </c>
      <c r="F919">
        <f t="shared" si="14"/>
        <v>228</v>
      </c>
    </row>
    <row r="920" spans="1:6" x14ac:dyDescent="0.25">
      <c r="A920">
        <v>65</v>
      </c>
      <c r="B920">
        <f>CalculateVacation(VLOOKUP(A920,'Employee Data'!A7:P106,16,FALSE),VLOOKUP(A920,'Employee Data'!A7:V106,22,FALSE))</f>
        <v>112.5</v>
      </c>
      <c r="C920">
        <v>24</v>
      </c>
      <c r="D920" s="3">
        <v>43744</v>
      </c>
      <c r="E920" s="3">
        <v>43968</v>
      </c>
      <c r="F920">
        <f t="shared" si="14"/>
        <v>88.5</v>
      </c>
    </row>
    <row r="921" spans="1:6" x14ac:dyDescent="0.25">
      <c r="A921">
        <v>3</v>
      </c>
      <c r="B921">
        <f>CalculateVacation(VLOOKUP(A921,'Employee Data'!A7:P106,16,FALSE),VLOOKUP(A921,'Employee Data'!A7:V106,22,FALSE))</f>
        <v>238</v>
      </c>
      <c r="C921">
        <v>9</v>
      </c>
      <c r="D921" s="3">
        <v>43596</v>
      </c>
      <c r="E921" s="3">
        <v>44025</v>
      </c>
      <c r="F921">
        <f t="shared" si="14"/>
        <v>229</v>
      </c>
    </row>
    <row r="922" spans="1:6" x14ac:dyDescent="0.25">
      <c r="A922">
        <v>53</v>
      </c>
      <c r="B922">
        <f>CalculateVacation(VLOOKUP(A922,'Employee Data'!A7:P106,16,FALSE),VLOOKUP(A922,'Employee Data'!A7:V106,22,FALSE))</f>
        <v>630</v>
      </c>
      <c r="C922">
        <v>19</v>
      </c>
      <c r="D922" s="3">
        <v>44074</v>
      </c>
      <c r="E922" s="3">
        <v>44075</v>
      </c>
      <c r="F922">
        <f t="shared" si="14"/>
        <v>611</v>
      </c>
    </row>
    <row r="923" spans="1:6" x14ac:dyDescent="0.25">
      <c r="A923">
        <v>64</v>
      </c>
      <c r="B923">
        <f>CalculateVacation(VLOOKUP(A923,'Employee Data'!A7:P106,16,FALSE),VLOOKUP(A923,'Employee Data'!A7:V106,22,FALSE))</f>
        <v>39</v>
      </c>
      <c r="C923">
        <v>18</v>
      </c>
      <c r="D923" s="3">
        <v>43755</v>
      </c>
      <c r="E923" s="3">
        <v>44019</v>
      </c>
      <c r="F923">
        <f t="shared" si="14"/>
        <v>21</v>
      </c>
    </row>
    <row r="924" spans="1:6" x14ac:dyDescent="0.25">
      <c r="A924">
        <v>50</v>
      </c>
      <c r="B924">
        <f>CalculateVacation(VLOOKUP(A924,'Employee Data'!A7:P106,16,FALSE),VLOOKUP(A924,'Employee Data'!A7:V106,22,FALSE))</f>
        <v>144</v>
      </c>
      <c r="C924">
        <v>24</v>
      </c>
      <c r="D924" s="3">
        <v>43686</v>
      </c>
      <c r="E924" s="3">
        <v>44069</v>
      </c>
      <c r="F924">
        <f t="shared" si="14"/>
        <v>120</v>
      </c>
    </row>
    <row r="925" spans="1:6" x14ac:dyDescent="0.25">
      <c r="A925">
        <v>65</v>
      </c>
      <c r="B925">
        <f>CalculateVacation(VLOOKUP(A925,'Employee Data'!A7:P106,16,FALSE),VLOOKUP(A925,'Employee Data'!A7:V106,22,FALSE))</f>
        <v>112.5</v>
      </c>
      <c r="C925">
        <v>4</v>
      </c>
      <c r="D925" s="3">
        <v>43609</v>
      </c>
      <c r="E925" s="3">
        <v>43671</v>
      </c>
      <c r="F925">
        <f t="shared" si="14"/>
        <v>108.5</v>
      </c>
    </row>
    <row r="926" spans="1:6" x14ac:dyDescent="0.25">
      <c r="A926">
        <v>2</v>
      </c>
      <c r="B926">
        <f>CalculateVacation(VLOOKUP(A926,'Employee Data'!A7:P106,16,FALSE),VLOOKUP(A926,'Employee Data'!A7:V106,22,FALSE))</f>
        <v>130.5</v>
      </c>
      <c r="C926">
        <v>8</v>
      </c>
      <c r="D926" s="3">
        <v>44016</v>
      </c>
      <c r="E926" s="3">
        <v>44017</v>
      </c>
      <c r="F926">
        <f t="shared" si="14"/>
        <v>122.5</v>
      </c>
    </row>
    <row r="927" spans="1:6" x14ac:dyDescent="0.25">
      <c r="A927">
        <v>13</v>
      </c>
      <c r="B927">
        <f>CalculateVacation(VLOOKUP(A927,'Employee Data'!A7:P106,16,FALSE),VLOOKUP(A927,'Employee Data'!A7:V106,22,FALSE))</f>
        <v>633</v>
      </c>
      <c r="C927">
        <v>5</v>
      </c>
      <c r="D927" s="3">
        <v>43902</v>
      </c>
      <c r="E927" s="3">
        <v>43907</v>
      </c>
      <c r="F927">
        <f t="shared" si="14"/>
        <v>628</v>
      </c>
    </row>
    <row r="928" spans="1:6" x14ac:dyDescent="0.25">
      <c r="A928">
        <v>37</v>
      </c>
      <c r="B928">
        <f>CalculateVacation(VLOOKUP(A928,'Employee Data'!A7:P106,16,FALSE),VLOOKUP(A928,'Employee Data'!A7:V106,22,FALSE))</f>
        <v>407.5</v>
      </c>
      <c r="C928">
        <v>29</v>
      </c>
      <c r="D928" s="3">
        <v>43553</v>
      </c>
      <c r="E928" s="3">
        <v>44074</v>
      </c>
      <c r="F928">
        <f t="shared" si="14"/>
        <v>378.5</v>
      </c>
    </row>
    <row r="929" spans="1:6" x14ac:dyDescent="0.25">
      <c r="A929">
        <v>77</v>
      </c>
      <c r="B929">
        <f>CalculateVacation(VLOOKUP(A929,'Employee Data'!A7:P106,16,FALSE),VLOOKUP(A929,'Employee Data'!A7:V106,22,FALSE))</f>
        <v>437.5</v>
      </c>
      <c r="C929">
        <v>14</v>
      </c>
      <c r="D929" s="3">
        <v>43743</v>
      </c>
      <c r="E929" s="3">
        <v>43753</v>
      </c>
      <c r="F929">
        <f t="shared" si="14"/>
        <v>423.5</v>
      </c>
    </row>
    <row r="930" spans="1:6" x14ac:dyDescent="0.25">
      <c r="A930">
        <v>54</v>
      </c>
      <c r="B930">
        <f>CalculateVacation(VLOOKUP(A930,'Employee Data'!A7:P106,16,FALSE),VLOOKUP(A930,'Employee Data'!A7:V106,22,FALSE))</f>
        <v>145.5</v>
      </c>
      <c r="C930">
        <v>12</v>
      </c>
      <c r="D930" s="3">
        <v>43499</v>
      </c>
      <c r="E930" s="3">
        <v>43932</v>
      </c>
      <c r="F930">
        <f t="shared" si="14"/>
        <v>133.5</v>
      </c>
    </row>
    <row r="931" spans="1:6" x14ac:dyDescent="0.25">
      <c r="A931">
        <v>26</v>
      </c>
      <c r="B931">
        <f>CalculateVacation(VLOOKUP(A931,'Employee Data'!A7:P106,16,FALSE),VLOOKUP(A931,'Employee Data'!A7:V106,22,FALSE))</f>
        <v>12.75</v>
      </c>
      <c r="C931">
        <v>11</v>
      </c>
      <c r="D931" s="3">
        <v>43738</v>
      </c>
      <c r="E931" s="3">
        <v>43967</v>
      </c>
      <c r="F931">
        <f t="shared" si="14"/>
        <v>1.75</v>
      </c>
    </row>
    <row r="932" spans="1:6" x14ac:dyDescent="0.25">
      <c r="A932">
        <v>76</v>
      </c>
      <c r="B932">
        <f>CalculateVacation(VLOOKUP(A932,'Employee Data'!A7:P106,16,FALSE),VLOOKUP(A932,'Employee Data'!A7:V106,22,FALSE))</f>
        <v>591</v>
      </c>
      <c r="C932">
        <v>25</v>
      </c>
      <c r="D932" s="3">
        <v>43635</v>
      </c>
      <c r="E932" s="3">
        <v>43798</v>
      </c>
      <c r="F932">
        <f t="shared" si="14"/>
        <v>566</v>
      </c>
    </row>
    <row r="933" spans="1:6" x14ac:dyDescent="0.25">
      <c r="A933">
        <v>82</v>
      </c>
      <c r="B933">
        <f>CalculateVacation(VLOOKUP(A933,'Employee Data'!A7:P106,16,FALSE),VLOOKUP(A933,'Employee Data'!A7:V106,22,FALSE))</f>
        <v>0</v>
      </c>
      <c r="C933">
        <v>19</v>
      </c>
      <c r="D933" s="3">
        <v>43520</v>
      </c>
      <c r="E933" s="3">
        <v>43890</v>
      </c>
      <c r="F933">
        <f t="shared" si="14"/>
        <v>-19</v>
      </c>
    </row>
    <row r="934" spans="1:6" x14ac:dyDescent="0.25">
      <c r="A934">
        <v>73</v>
      </c>
      <c r="B934">
        <f>CalculateVacation(VLOOKUP(A934,'Employee Data'!A7:P106,16,FALSE),VLOOKUP(A934,'Employee Data'!A7:V106,22,FALSE))</f>
        <v>105</v>
      </c>
      <c r="C934">
        <v>26</v>
      </c>
      <c r="D934" s="3">
        <v>43641</v>
      </c>
      <c r="E934" s="3">
        <v>44015</v>
      </c>
      <c r="F934">
        <f t="shared" si="14"/>
        <v>79</v>
      </c>
    </row>
    <row r="935" spans="1:6" x14ac:dyDescent="0.25">
      <c r="A935">
        <v>51</v>
      </c>
      <c r="B935">
        <f>CalculateVacation(VLOOKUP(A935,'Employee Data'!A7:P106,16,FALSE),VLOOKUP(A935,'Employee Data'!A7:V106,22,FALSE))</f>
        <v>0</v>
      </c>
      <c r="C935">
        <v>12</v>
      </c>
      <c r="D935" s="3">
        <v>43571</v>
      </c>
      <c r="E935" s="3">
        <v>43740</v>
      </c>
      <c r="F935">
        <f t="shared" si="14"/>
        <v>-12</v>
      </c>
    </row>
    <row r="936" spans="1:6" x14ac:dyDescent="0.25">
      <c r="A936">
        <v>40</v>
      </c>
      <c r="B936">
        <f>CalculateVacation(VLOOKUP(A936,'Employee Data'!A7:P106,16,FALSE),VLOOKUP(A936,'Employee Data'!A7:V106,22,FALSE))</f>
        <v>672</v>
      </c>
      <c r="C936">
        <v>27</v>
      </c>
      <c r="D936" s="3">
        <v>43707</v>
      </c>
      <c r="E936" s="3">
        <v>44026</v>
      </c>
      <c r="F936">
        <f t="shared" si="14"/>
        <v>645</v>
      </c>
    </row>
    <row r="937" spans="1:6" x14ac:dyDescent="0.25">
      <c r="A937">
        <v>31</v>
      </c>
      <c r="B937">
        <f>CalculateVacation(VLOOKUP(A937,'Employee Data'!A7:P106,16,FALSE),VLOOKUP(A937,'Employee Data'!A7:V106,22,FALSE))</f>
        <v>570</v>
      </c>
      <c r="C937">
        <v>17</v>
      </c>
      <c r="D937" s="3">
        <v>43850</v>
      </c>
      <c r="E937" s="3">
        <v>43858</v>
      </c>
      <c r="F937">
        <f t="shared" si="14"/>
        <v>553</v>
      </c>
    </row>
    <row r="938" spans="1:6" x14ac:dyDescent="0.25">
      <c r="A938">
        <v>58</v>
      </c>
      <c r="B938">
        <f>CalculateVacation(VLOOKUP(A938,'Employee Data'!A7:P106,16,FALSE),VLOOKUP(A938,'Employee Data'!A7:V106,22,FALSE))</f>
        <v>114</v>
      </c>
      <c r="C938">
        <v>11</v>
      </c>
      <c r="D938" s="3">
        <v>43703</v>
      </c>
      <c r="E938" s="3">
        <v>43708</v>
      </c>
      <c r="F938">
        <f t="shared" si="14"/>
        <v>103</v>
      </c>
    </row>
    <row r="939" spans="1:6" x14ac:dyDescent="0.25">
      <c r="A939">
        <v>25</v>
      </c>
      <c r="B939">
        <f>CalculateVacation(VLOOKUP(A939,'Employee Data'!A7:P106,16,FALSE),VLOOKUP(A939,'Employee Data'!A7:V106,22,FALSE))</f>
        <v>52</v>
      </c>
      <c r="C939">
        <v>27</v>
      </c>
      <c r="D939" s="3">
        <v>43519</v>
      </c>
      <c r="E939" s="3">
        <v>43693</v>
      </c>
      <c r="F939">
        <f t="shared" si="14"/>
        <v>25</v>
      </c>
    </row>
    <row r="940" spans="1:6" x14ac:dyDescent="0.25">
      <c r="A940">
        <v>98</v>
      </c>
      <c r="B940">
        <f>CalculateVacation(VLOOKUP(A940,'Employee Data'!A7:P106,16,FALSE),VLOOKUP(A940,'Employee Data'!A7:V106,22,FALSE))</f>
        <v>648</v>
      </c>
      <c r="C940">
        <v>1</v>
      </c>
      <c r="D940" s="3">
        <v>43596</v>
      </c>
      <c r="E940" s="3">
        <v>43750</v>
      </c>
      <c r="F940">
        <f t="shared" si="14"/>
        <v>647</v>
      </c>
    </row>
    <row r="941" spans="1:6" x14ac:dyDescent="0.25">
      <c r="A941">
        <v>34</v>
      </c>
      <c r="B941">
        <f>CalculateVacation(VLOOKUP(A941,'Employee Data'!A7:P106,16,FALSE),VLOOKUP(A941,'Employee Data'!A7:V106,22,FALSE))</f>
        <v>591</v>
      </c>
      <c r="C941">
        <v>29</v>
      </c>
      <c r="D941" s="3">
        <v>44076</v>
      </c>
      <c r="E941" s="3">
        <v>44081</v>
      </c>
      <c r="F941">
        <f t="shared" si="14"/>
        <v>562</v>
      </c>
    </row>
    <row r="942" spans="1:6" x14ac:dyDescent="0.25">
      <c r="A942">
        <v>93</v>
      </c>
      <c r="B942">
        <f>CalculateVacation(VLOOKUP(A942,'Employee Data'!A7:P106,16,FALSE),VLOOKUP(A942,'Employee Data'!A7:V106,22,FALSE))</f>
        <v>151.5</v>
      </c>
      <c r="C942">
        <v>22</v>
      </c>
      <c r="D942" s="3">
        <v>44020</v>
      </c>
      <c r="E942" s="3">
        <v>44028</v>
      </c>
      <c r="F942">
        <f t="shared" si="14"/>
        <v>129.5</v>
      </c>
    </row>
    <row r="943" spans="1:6" x14ac:dyDescent="0.25">
      <c r="A943">
        <v>50</v>
      </c>
      <c r="B943">
        <f>CalculateVacation(VLOOKUP(A943,'Employee Data'!A7:P106,16,FALSE),VLOOKUP(A943,'Employee Data'!A7:V106,22,FALSE))</f>
        <v>144</v>
      </c>
      <c r="C943">
        <v>27</v>
      </c>
      <c r="D943" s="3">
        <v>43980</v>
      </c>
      <c r="E943" s="3">
        <v>44044</v>
      </c>
      <c r="F943">
        <f t="shared" si="14"/>
        <v>117</v>
      </c>
    </row>
    <row r="944" spans="1:6" x14ac:dyDescent="0.25">
      <c r="A944">
        <v>74</v>
      </c>
      <c r="B944">
        <f>CalculateVacation(VLOOKUP(A944,'Employee Data'!A7:P106,16,FALSE),VLOOKUP(A944,'Employee Data'!A7:V106,22,FALSE))</f>
        <v>417.5</v>
      </c>
      <c r="C944">
        <v>30</v>
      </c>
      <c r="D944" s="3">
        <v>43744</v>
      </c>
      <c r="E944" s="3">
        <v>43752</v>
      </c>
      <c r="F944">
        <f t="shared" si="14"/>
        <v>387.5</v>
      </c>
    </row>
    <row r="945" spans="1:6" x14ac:dyDescent="0.25">
      <c r="A945">
        <v>53</v>
      </c>
      <c r="B945">
        <f>CalculateVacation(VLOOKUP(A945,'Employee Data'!A7:P106,16,FALSE),VLOOKUP(A945,'Employee Data'!A7:V106,22,FALSE))</f>
        <v>630</v>
      </c>
      <c r="C945">
        <v>20</v>
      </c>
      <c r="D945" s="3">
        <v>43923</v>
      </c>
      <c r="E945" s="3">
        <v>43928</v>
      </c>
      <c r="F945">
        <f t="shared" si="14"/>
        <v>610</v>
      </c>
    </row>
    <row r="946" spans="1:6" x14ac:dyDescent="0.25">
      <c r="A946">
        <v>10</v>
      </c>
      <c r="B946">
        <f>CalculateVacation(VLOOKUP(A946,'Employee Data'!A7:P106,16,FALSE),VLOOKUP(A946,'Employee Data'!A7:V106,22,FALSE))</f>
        <v>150</v>
      </c>
      <c r="C946">
        <v>4</v>
      </c>
      <c r="D946" s="3">
        <v>43739</v>
      </c>
      <c r="E946" s="3">
        <v>43872</v>
      </c>
      <c r="F946">
        <f t="shared" si="14"/>
        <v>146</v>
      </c>
    </row>
    <row r="947" spans="1:6" x14ac:dyDescent="0.25">
      <c r="A947">
        <v>25</v>
      </c>
      <c r="B947">
        <f>CalculateVacation(VLOOKUP(A947,'Employee Data'!A7:P106,16,FALSE),VLOOKUP(A947,'Employee Data'!A7:V106,22,FALSE))</f>
        <v>52</v>
      </c>
      <c r="C947">
        <v>11</v>
      </c>
      <c r="D947" s="3">
        <v>43738</v>
      </c>
      <c r="E947" s="3">
        <v>43988</v>
      </c>
      <c r="F947">
        <f t="shared" si="14"/>
        <v>41</v>
      </c>
    </row>
    <row r="948" spans="1:6" x14ac:dyDescent="0.25">
      <c r="A948">
        <v>87</v>
      </c>
      <c r="B948">
        <f>CalculateVacation(VLOOKUP(A948,'Employee Data'!A7:P106,16,FALSE),VLOOKUP(A948,'Employee Data'!A7:V106,22,FALSE))</f>
        <v>537</v>
      </c>
      <c r="C948">
        <v>23</v>
      </c>
      <c r="D948" s="3">
        <v>43713</v>
      </c>
      <c r="E948" s="3">
        <v>44055</v>
      </c>
      <c r="F948">
        <f t="shared" si="14"/>
        <v>514</v>
      </c>
    </row>
    <row r="949" spans="1:6" x14ac:dyDescent="0.25">
      <c r="A949">
        <v>95</v>
      </c>
      <c r="B949">
        <f>CalculateVacation(VLOOKUP(A949,'Employee Data'!A7:P106,16,FALSE),VLOOKUP(A949,'Employee Data'!A7:V106,22,FALSE))</f>
        <v>618</v>
      </c>
      <c r="C949">
        <v>1</v>
      </c>
      <c r="D949" s="3">
        <v>43912</v>
      </c>
      <c r="E949" s="3">
        <v>43918</v>
      </c>
      <c r="F949">
        <f t="shared" si="14"/>
        <v>617</v>
      </c>
    </row>
    <row r="950" spans="1:6" x14ac:dyDescent="0.25">
      <c r="A950">
        <v>57</v>
      </c>
      <c r="B950">
        <f>CalculateVacation(VLOOKUP(A950,'Employee Data'!A7:P106,16,FALSE),VLOOKUP(A950,'Employee Data'!A7:V106,22,FALSE))</f>
        <v>99</v>
      </c>
      <c r="C950">
        <v>17</v>
      </c>
      <c r="D950" s="3">
        <v>43701</v>
      </c>
      <c r="E950" s="3">
        <v>44060</v>
      </c>
      <c r="F950">
        <f t="shared" si="14"/>
        <v>82</v>
      </c>
    </row>
    <row r="951" spans="1:6" x14ac:dyDescent="0.25">
      <c r="A951">
        <v>59</v>
      </c>
      <c r="B951">
        <f>CalculateVacation(VLOOKUP(A951,'Employee Data'!A7:P106,16,FALSE),VLOOKUP(A951,'Employee Data'!A7:V106,22,FALSE))</f>
        <v>54</v>
      </c>
      <c r="C951">
        <v>15</v>
      </c>
      <c r="D951" s="3">
        <v>43506</v>
      </c>
      <c r="E951" s="3">
        <v>44013</v>
      </c>
      <c r="F951">
        <f t="shared" si="14"/>
        <v>39</v>
      </c>
    </row>
    <row r="952" spans="1:6" x14ac:dyDescent="0.25">
      <c r="A952">
        <v>52</v>
      </c>
      <c r="B952">
        <f>CalculateVacation(VLOOKUP(A952,'Employee Data'!A7:P106,16,FALSE),VLOOKUP(A952,'Employee Data'!A7:V106,22,FALSE))</f>
        <v>8</v>
      </c>
      <c r="C952">
        <v>26</v>
      </c>
      <c r="D952" s="3">
        <v>44065</v>
      </c>
      <c r="E952" s="3">
        <v>44069</v>
      </c>
      <c r="F952">
        <f t="shared" si="14"/>
        <v>-18</v>
      </c>
    </row>
    <row r="953" spans="1:6" x14ac:dyDescent="0.25">
      <c r="A953">
        <v>26</v>
      </c>
      <c r="B953">
        <f>CalculateVacation(VLOOKUP(A953,'Employee Data'!A7:P106,16,FALSE),VLOOKUP(A953,'Employee Data'!A7:V106,22,FALSE))</f>
        <v>12.75</v>
      </c>
      <c r="C953">
        <v>18</v>
      </c>
      <c r="D953" s="3">
        <v>43805</v>
      </c>
      <c r="E953" s="3">
        <v>43810</v>
      </c>
      <c r="F953">
        <f t="shared" si="14"/>
        <v>-5.25</v>
      </c>
    </row>
    <row r="954" spans="1:6" x14ac:dyDescent="0.25">
      <c r="A954">
        <v>30</v>
      </c>
      <c r="B954">
        <f>CalculateVacation(VLOOKUP(A954,'Employee Data'!A7:P106,16,FALSE),VLOOKUP(A954,'Employee Data'!A7:V106,22,FALSE))</f>
        <v>138</v>
      </c>
      <c r="C954">
        <v>1</v>
      </c>
      <c r="D954" s="3">
        <v>43619</v>
      </c>
      <c r="E954" s="3">
        <v>43738</v>
      </c>
      <c r="F954">
        <f t="shared" si="14"/>
        <v>137</v>
      </c>
    </row>
    <row r="955" spans="1:6" x14ac:dyDescent="0.25">
      <c r="A955">
        <v>91</v>
      </c>
      <c r="B955">
        <f>CalculateVacation(VLOOKUP(A955,'Employee Data'!A7:P106,16,FALSE),VLOOKUP(A955,'Employee Data'!A7:V106,22,FALSE))</f>
        <v>40.5</v>
      </c>
      <c r="C955">
        <v>2</v>
      </c>
      <c r="D955" s="3">
        <v>43490</v>
      </c>
      <c r="E955" s="3">
        <v>43494</v>
      </c>
      <c r="F955">
        <f t="shared" si="14"/>
        <v>38.5</v>
      </c>
    </row>
    <row r="956" spans="1:6" x14ac:dyDescent="0.25">
      <c r="A956">
        <v>88</v>
      </c>
      <c r="B956">
        <f>CalculateVacation(VLOOKUP(A956,'Employee Data'!A7:P106,16,FALSE),VLOOKUP(A956,'Employee Data'!A7:V106,22,FALSE))</f>
        <v>390</v>
      </c>
      <c r="C956">
        <v>21</v>
      </c>
      <c r="D956" s="3">
        <v>43575</v>
      </c>
      <c r="E956" s="3">
        <v>43579</v>
      </c>
      <c r="F956">
        <f t="shared" si="14"/>
        <v>369</v>
      </c>
    </row>
    <row r="957" spans="1:6" x14ac:dyDescent="0.25">
      <c r="A957">
        <v>97</v>
      </c>
      <c r="B957">
        <f>CalculateVacation(VLOOKUP(A957,'Employee Data'!A7:P106,16,FALSE),VLOOKUP(A957,'Employee Data'!A7:V106,22,FALSE))</f>
        <v>355</v>
      </c>
      <c r="C957">
        <v>10</v>
      </c>
      <c r="D957" s="3">
        <v>43782</v>
      </c>
      <c r="E957" s="3">
        <v>43977</v>
      </c>
      <c r="F957">
        <f t="shared" si="14"/>
        <v>345</v>
      </c>
    </row>
    <row r="958" spans="1:6" x14ac:dyDescent="0.25">
      <c r="A958">
        <v>31</v>
      </c>
      <c r="B958">
        <f>CalculateVacation(VLOOKUP(A958,'Employee Data'!A7:P106,16,FALSE),VLOOKUP(A958,'Employee Data'!A7:V106,22,FALSE))</f>
        <v>570</v>
      </c>
      <c r="C958">
        <v>7</v>
      </c>
      <c r="D958" s="3">
        <v>43880</v>
      </c>
      <c r="E958" s="3">
        <v>43884</v>
      </c>
      <c r="F958">
        <f t="shared" si="14"/>
        <v>563</v>
      </c>
    </row>
    <row r="959" spans="1:6" x14ac:dyDescent="0.25">
      <c r="A959">
        <v>82</v>
      </c>
      <c r="B959">
        <f>CalculateVacation(VLOOKUP(A959,'Employee Data'!A7:P106,16,FALSE),VLOOKUP(A959,'Employee Data'!A7:V106,22,FALSE))</f>
        <v>0</v>
      </c>
      <c r="C959">
        <v>28</v>
      </c>
      <c r="D959" s="3">
        <v>43984</v>
      </c>
      <c r="E959" s="3">
        <v>43988</v>
      </c>
      <c r="F959">
        <f t="shared" si="14"/>
        <v>-28</v>
      </c>
    </row>
    <row r="960" spans="1:6" x14ac:dyDescent="0.25">
      <c r="A960">
        <v>5</v>
      </c>
      <c r="B960">
        <f>CalculateVacation(VLOOKUP(A960,'Employee Data'!A7:P106,16,FALSE),VLOOKUP(A960,'Employee Data'!A7:V106,22,FALSE))</f>
        <v>417.5</v>
      </c>
      <c r="C960">
        <v>17</v>
      </c>
      <c r="D960" s="3">
        <v>43652</v>
      </c>
      <c r="E960" s="3">
        <v>44024</v>
      </c>
      <c r="F960">
        <f t="shared" si="14"/>
        <v>400.5</v>
      </c>
    </row>
    <row r="961" spans="1:6" x14ac:dyDescent="0.25">
      <c r="A961">
        <v>32</v>
      </c>
      <c r="B961">
        <f>CalculateVacation(VLOOKUP(A961,'Employee Data'!A7:P106,16,FALSE),VLOOKUP(A961,'Employee Data'!A7:V106,22,FALSE))</f>
        <v>238</v>
      </c>
      <c r="C961">
        <v>10</v>
      </c>
      <c r="D961" s="3">
        <v>43880</v>
      </c>
      <c r="E961" s="3">
        <v>43884</v>
      </c>
      <c r="F961">
        <f t="shared" si="14"/>
        <v>228</v>
      </c>
    </row>
    <row r="962" spans="1:6" x14ac:dyDescent="0.25">
      <c r="A962">
        <v>36</v>
      </c>
      <c r="B962">
        <f>CalculateVacation(VLOOKUP(A962,'Employee Data'!A7:P106,16,FALSE),VLOOKUP(A962,'Employee Data'!A7:V106,22,FALSE))</f>
        <v>675</v>
      </c>
      <c r="C962">
        <v>15</v>
      </c>
      <c r="D962" s="3">
        <v>43782</v>
      </c>
      <c r="E962" s="3">
        <v>43790</v>
      </c>
      <c r="F962">
        <f t="shared" si="14"/>
        <v>660</v>
      </c>
    </row>
    <row r="963" spans="1:6" x14ac:dyDescent="0.25">
      <c r="A963">
        <v>88</v>
      </c>
      <c r="B963">
        <f>CalculateVacation(VLOOKUP(A963,'Employee Data'!A7:P106,16,FALSE),VLOOKUP(A963,'Employee Data'!A7:V106,22,FALSE))</f>
        <v>390</v>
      </c>
      <c r="C963">
        <v>14</v>
      </c>
      <c r="D963" s="3">
        <v>43632</v>
      </c>
      <c r="E963" s="3">
        <v>43651</v>
      </c>
      <c r="F963">
        <f t="shared" si="14"/>
        <v>376</v>
      </c>
    </row>
    <row r="964" spans="1:6" x14ac:dyDescent="0.25">
      <c r="A964">
        <v>99</v>
      </c>
      <c r="B964">
        <f>CalculateVacation(VLOOKUP(A964,'Employee Data'!A7:P106,16,FALSE),VLOOKUP(A964,'Employee Data'!A7:V106,22,FALSE))</f>
        <v>564</v>
      </c>
      <c r="C964">
        <v>22</v>
      </c>
      <c r="D964" s="3">
        <v>43867</v>
      </c>
      <c r="E964" s="3">
        <v>44059</v>
      </c>
      <c r="F964">
        <f t="shared" si="14"/>
        <v>542</v>
      </c>
    </row>
    <row r="965" spans="1:6" x14ac:dyDescent="0.25">
      <c r="A965">
        <v>36</v>
      </c>
      <c r="B965">
        <f>CalculateVacation(VLOOKUP(A965,'Employee Data'!A7:P106,16,FALSE),VLOOKUP(A965,'Employee Data'!A7:V106,22,FALSE))</f>
        <v>675</v>
      </c>
      <c r="C965">
        <v>15</v>
      </c>
      <c r="D965" s="3">
        <v>43672</v>
      </c>
      <c r="E965" s="3">
        <v>43679</v>
      </c>
      <c r="F965">
        <f t="shared" si="14"/>
        <v>660</v>
      </c>
    </row>
    <row r="966" spans="1:6" x14ac:dyDescent="0.25">
      <c r="A966">
        <v>84</v>
      </c>
      <c r="B966">
        <f>CalculateVacation(VLOOKUP(A966,'Employee Data'!A7:P106,16,FALSE),VLOOKUP(A966,'Employee Data'!A7:V106,22,FALSE))</f>
        <v>615</v>
      </c>
      <c r="C966">
        <v>29</v>
      </c>
      <c r="D966" s="3">
        <v>43917</v>
      </c>
      <c r="E966" s="3">
        <v>43922</v>
      </c>
      <c r="F966">
        <f t="shared" si="14"/>
        <v>586</v>
      </c>
    </row>
    <row r="967" spans="1:6" x14ac:dyDescent="0.25">
      <c r="A967">
        <v>43</v>
      </c>
      <c r="B967">
        <f>CalculateVacation(VLOOKUP(A967,'Employee Data'!A7:P106,16,FALSE),VLOOKUP(A967,'Employee Data'!A7:V106,22,FALSE))</f>
        <v>52</v>
      </c>
      <c r="C967">
        <v>9</v>
      </c>
      <c r="D967" s="3">
        <v>43743</v>
      </c>
      <c r="E967" s="3">
        <v>44015</v>
      </c>
      <c r="F967">
        <f t="shared" si="14"/>
        <v>43</v>
      </c>
    </row>
    <row r="968" spans="1:6" x14ac:dyDescent="0.25">
      <c r="A968">
        <v>70</v>
      </c>
      <c r="B968">
        <f>CalculateVacation(VLOOKUP(A968,'Employee Data'!A7:P106,16,FALSE),VLOOKUP(A968,'Employee Data'!A7:V106,22,FALSE))</f>
        <v>543</v>
      </c>
      <c r="C968">
        <v>17</v>
      </c>
      <c r="D968" s="3">
        <v>44054</v>
      </c>
      <c r="E968" s="3">
        <v>44058</v>
      </c>
      <c r="F968">
        <f t="shared" ref="F968:F1006" si="15">B968-C968</f>
        <v>526</v>
      </c>
    </row>
    <row r="969" spans="1:6" x14ac:dyDescent="0.25">
      <c r="A969">
        <v>89</v>
      </c>
      <c r="B969">
        <f>CalculateVacation(VLOOKUP(A969,'Employee Data'!A7:P106,16,FALSE),VLOOKUP(A969,'Employee Data'!A7:V106,22,FALSE))</f>
        <v>126</v>
      </c>
      <c r="C969">
        <v>11</v>
      </c>
      <c r="D969" s="3">
        <v>43947</v>
      </c>
      <c r="E969" s="3">
        <v>43955</v>
      </c>
      <c r="F969">
        <f t="shared" si="15"/>
        <v>115</v>
      </c>
    </row>
    <row r="970" spans="1:6" x14ac:dyDescent="0.25">
      <c r="A970">
        <v>40</v>
      </c>
      <c r="B970">
        <f>CalculateVacation(VLOOKUP(A970,'Employee Data'!A7:P106,16,FALSE),VLOOKUP(A970,'Employee Data'!A7:V106,22,FALSE))</f>
        <v>672</v>
      </c>
      <c r="C970">
        <v>12</v>
      </c>
      <c r="D970" s="3">
        <v>44000</v>
      </c>
      <c r="E970" s="3">
        <v>44003</v>
      </c>
      <c r="F970">
        <f t="shared" si="15"/>
        <v>660</v>
      </c>
    </row>
    <row r="971" spans="1:6" x14ac:dyDescent="0.25">
      <c r="A971">
        <v>35</v>
      </c>
      <c r="B971">
        <f>CalculateVacation(VLOOKUP(A971,'Employee Data'!A7:P106,16,FALSE),VLOOKUP(A971,'Employee Data'!A7:V106,22,FALSE))</f>
        <v>555</v>
      </c>
      <c r="C971">
        <v>27</v>
      </c>
      <c r="D971" s="3">
        <v>43806</v>
      </c>
      <c r="E971" s="3">
        <v>43815</v>
      </c>
      <c r="F971">
        <f t="shared" si="15"/>
        <v>528</v>
      </c>
    </row>
    <row r="972" spans="1:6" x14ac:dyDescent="0.25">
      <c r="A972">
        <v>64</v>
      </c>
      <c r="B972">
        <f>CalculateVacation(VLOOKUP(A972,'Employee Data'!A7:P106,16,FALSE),VLOOKUP(A972,'Employee Data'!A7:V106,22,FALSE))</f>
        <v>39</v>
      </c>
      <c r="C972">
        <v>11</v>
      </c>
      <c r="D972" s="3">
        <v>43500</v>
      </c>
      <c r="E972" s="3">
        <v>43724</v>
      </c>
      <c r="F972">
        <f t="shared" si="15"/>
        <v>28</v>
      </c>
    </row>
    <row r="973" spans="1:6" x14ac:dyDescent="0.25">
      <c r="A973">
        <v>8</v>
      </c>
      <c r="B973">
        <f>CalculateVacation(VLOOKUP(A973,'Employee Data'!A7:P106,16,FALSE),VLOOKUP(A973,'Employee Data'!A7:V106,22,FALSE))</f>
        <v>588</v>
      </c>
      <c r="C973">
        <v>6</v>
      </c>
      <c r="D973" s="3">
        <v>44088</v>
      </c>
      <c r="E973" s="3">
        <v>44098</v>
      </c>
      <c r="F973">
        <f t="shared" si="15"/>
        <v>582</v>
      </c>
    </row>
    <row r="974" spans="1:6" x14ac:dyDescent="0.25">
      <c r="A974">
        <v>16</v>
      </c>
      <c r="B974">
        <f>CalculateVacation(VLOOKUP(A974,'Employee Data'!A7:P106,16,FALSE),VLOOKUP(A974,'Employee Data'!A7:V106,22,FALSE))</f>
        <v>240</v>
      </c>
      <c r="C974">
        <v>18</v>
      </c>
      <c r="D974" s="3">
        <v>43617</v>
      </c>
      <c r="E974" s="3">
        <v>43966</v>
      </c>
      <c r="F974">
        <f t="shared" si="15"/>
        <v>222</v>
      </c>
    </row>
    <row r="975" spans="1:6" x14ac:dyDescent="0.25">
      <c r="A975">
        <v>27</v>
      </c>
      <c r="B975">
        <f>CalculateVacation(VLOOKUP(A975,'Employee Data'!A7:P106,16,FALSE),VLOOKUP(A975,'Employee Data'!A7:V106,22,FALSE))</f>
        <v>0</v>
      </c>
      <c r="C975">
        <v>4</v>
      </c>
      <c r="D975" s="3">
        <v>43513</v>
      </c>
      <c r="E975" s="3">
        <v>43520</v>
      </c>
      <c r="F975">
        <f t="shared" si="15"/>
        <v>-4</v>
      </c>
    </row>
    <row r="976" spans="1:6" x14ac:dyDescent="0.25">
      <c r="A976">
        <v>96</v>
      </c>
      <c r="B976">
        <f>CalculateVacation(VLOOKUP(A976,'Employee Data'!A7:P106,16,FALSE),VLOOKUP(A976,'Employee Data'!A7:V106,22,FALSE))</f>
        <v>0</v>
      </c>
      <c r="C976">
        <v>25</v>
      </c>
      <c r="D976" s="3">
        <v>43477</v>
      </c>
      <c r="E976" s="3">
        <v>43879</v>
      </c>
      <c r="F976">
        <f t="shared" si="15"/>
        <v>-25</v>
      </c>
    </row>
    <row r="977" spans="1:6" x14ac:dyDescent="0.25">
      <c r="A977">
        <v>11</v>
      </c>
      <c r="B977">
        <f>CalculateVacation(VLOOKUP(A977,'Employee Data'!A7:P106,16,FALSE),VLOOKUP(A977,'Employee Data'!A7:V106,22,FALSE))</f>
        <v>417.5</v>
      </c>
      <c r="C977">
        <v>16</v>
      </c>
      <c r="D977" s="3">
        <v>43795</v>
      </c>
      <c r="E977" s="3">
        <v>44057</v>
      </c>
      <c r="F977">
        <f t="shared" si="15"/>
        <v>401.5</v>
      </c>
    </row>
    <row r="978" spans="1:6" x14ac:dyDescent="0.25">
      <c r="A978">
        <v>28</v>
      </c>
      <c r="B978">
        <f>CalculateVacation(VLOOKUP(A978,'Employee Data'!A7:P106,16,FALSE),VLOOKUP(A978,'Employee Data'!A7:V106,22,FALSE))</f>
        <v>15.5</v>
      </c>
      <c r="C978">
        <v>13</v>
      </c>
      <c r="D978" s="3">
        <v>43570</v>
      </c>
      <c r="E978" s="3">
        <v>43580</v>
      </c>
      <c r="F978">
        <f t="shared" si="15"/>
        <v>2.5</v>
      </c>
    </row>
    <row r="979" spans="1:6" x14ac:dyDescent="0.25">
      <c r="A979">
        <v>7</v>
      </c>
      <c r="B979">
        <f>CalculateVacation(VLOOKUP(A979,'Employee Data'!A7:P106,16,FALSE),VLOOKUP(A979,'Employee Data'!A7:V106,22,FALSE))</f>
        <v>642</v>
      </c>
      <c r="C979">
        <v>4</v>
      </c>
      <c r="D979" s="3">
        <v>43914</v>
      </c>
      <c r="E979" s="3">
        <v>43915</v>
      </c>
      <c r="F979">
        <f t="shared" si="15"/>
        <v>638</v>
      </c>
    </row>
    <row r="980" spans="1:6" x14ac:dyDescent="0.25">
      <c r="A980">
        <v>79</v>
      </c>
      <c r="B980">
        <f>CalculateVacation(VLOOKUP(A980,'Employee Data'!A7:P106,16,FALSE),VLOOKUP(A980,'Employee Data'!A7:V106,22,FALSE))</f>
        <v>543</v>
      </c>
      <c r="C980">
        <v>4</v>
      </c>
      <c r="D980" s="3">
        <v>43864</v>
      </c>
      <c r="E980" s="3">
        <v>43874</v>
      </c>
      <c r="F980">
        <f t="shared" si="15"/>
        <v>539</v>
      </c>
    </row>
    <row r="981" spans="1:6" x14ac:dyDescent="0.25">
      <c r="A981">
        <v>39</v>
      </c>
      <c r="B981">
        <f>CalculateVacation(VLOOKUP(A981,'Employee Data'!A7:P106,16,FALSE),VLOOKUP(A981,'Employee Data'!A7:V106,22,FALSE))</f>
        <v>0</v>
      </c>
      <c r="C981">
        <v>21</v>
      </c>
      <c r="D981" s="3">
        <v>43729</v>
      </c>
      <c r="E981" s="3">
        <v>43792</v>
      </c>
      <c r="F981">
        <f t="shared" si="15"/>
        <v>-21</v>
      </c>
    </row>
    <row r="982" spans="1:6" x14ac:dyDescent="0.25">
      <c r="A982">
        <v>81</v>
      </c>
      <c r="B982">
        <f>CalculateVacation(VLOOKUP(A982,'Employee Data'!A7:P106,16,FALSE),VLOOKUP(A982,'Employee Data'!A7:V106,22,FALSE))</f>
        <v>410</v>
      </c>
      <c r="C982">
        <v>4</v>
      </c>
      <c r="D982" s="3">
        <v>43509</v>
      </c>
      <c r="E982" s="3">
        <v>43744</v>
      </c>
      <c r="F982">
        <f t="shared" si="15"/>
        <v>406</v>
      </c>
    </row>
    <row r="983" spans="1:6" x14ac:dyDescent="0.25">
      <c r="A983">
        <v>50</v>
      </c>
      <c r="B983">
        <f>CalculateVacation(VLOOKUP(A983,'Employee Data'!A7:P106,16,FALSE),VLOOKUP(A983,'Employee Data'!A7:V106,22,FALSE))</f>
        <v>144</v>
      </c>
      <c r="C983">
        <v>4</v>
      </c>
      <c r="D983" s="3">
        <v>43475</v>
      </c>
      <c r="E983" s="3">
        <v>43817</v>
      </c>
      <c r="F983">
        <f t="shared" si="15"/>
        <v>140</v>
      </c>
    </row>
    <row r="984" spans="1:6" x14ac:dyDescent="0.25">
      <c r="A984">
        <v>54</v>
      </c>
      <c r="B984">
        <f>CalculateVacation(VLOOKUP(A984,'Employee Data'!A7:P106,16,FALSE),VLOOKUP(A984,'Employee Data'!A7:V106,22,FALSE))</f>
        <v>145.5</v>
      </c>
      <c r="C984">
        <v>9</v>
      </c>
      <c r="D984" s="3">
        <v>43700</v>
      </c>
      <c r="E984" s="3">
        <v>44038</v>
      </c>
      <c r="F984">
        <f t="shared" si="15"/>
        <v>136.5</v>
      </c>
    </row>
    <row r="985" spans="1:6" x14ac:dyDescent="0.25">
      <c r="A985">
        <v>64</v>
      </c>
      <c r="B985">
        <f>CalculateVacation(VLOOKUP(A985,'Employee Data'!A7:P106,16,FALSE),VLOOKUP(A985,'Employee Data'!A7:V106,22,FALSE))</f>
        <v>39</v>
      </c>
      <c r="C985">
        <v>29</v>
      </c>
      <c r="D985" s="3">
        <v>43779</v>
      </c>
      <c r="E985" s="3">
        <v>43784</v>
      </c>
      <c r="F985">
        <f t="shared" si="15"/>
        <v>10</v>
      </c>
    </row>
    <row r="986" spans="1:6" x14ac:dyDescent="0.25">
      <c r="A986">
        <v>31</v>
      </c>
      <c r="B986">
        <f>CalculateVacation(VLOOKUP(A986,'Employee Data'!A7:P106,16,FALSE),VLOOKUP(A986,'Employee Data'!A7:V106,22,FALSE))</f>
        <v>570</v>
      </c>
      <c r="C986">
        <v>18</v>
      </c>
      <c r="D986" s="3">
        <v>44079</v>
      </c>
      <c r="E986" s="3">
        <v>44080</v>
      </c>
      <c r="F986">
        <f t="shared" si="15"/>
        <v>552</v>
      </c>
    </row>
    <row r="987" spans="1:6" x14ac:dyDescent="0.25">
      <c r="A987">
        <v>58</v>
      </c>
      <c r="B987">
        <f>CalculateVacation(VLOOKUP(A987,'Employee Data'!A7:P106,16,FALSE),VLOOKUP(A987,'Employee Data'!A7:V106,22,FALSE))</f>
        <v>114</v>
      </c>
      <c r="C987">
        <v>10</v>
      </c>
      <c r="D987" s="3">
        <v>43974</v>
      </c>
      <c r="E987" s="3">
        <v>44031</v>
      </c>
      <c r="F987">
        <f t="shared" si="15"/>
        <v>104</v>
      </c>
    </row>
    <row r="988" spans="1:6" x14ac:dyDescent="0.25">
      <c r="A988">
        <v>61</v>
      </c>
      <c r="B988">
        <f>CalculateVacation(VLOOKUP(A988,'Employee Data'!A7:P106,16,FALSE),VLOOKUP(A988,'Employee Data'!A7:V106,22,FALSE))</f>
        <v>126</v>
      </c>
      <c r="C988">
        <v>22</v>
      </c>
      <c r="D988" s="3">
        <v>43688</v>
      </c>
      <c r="E988" s="3">
        <v>43886</v>
      </c>
      <c r="F988">
        <f t="shared" si="15"/>
        <v>104</v>
      </c>
    </row>
    <row r="989" spans="1:6" x14ac:dyDescent="0.25">
      <c r="A989">
        <v>19</v>
      </c>
      <c r="B989">
        <f>CalculateVacation(VLOOKUP(A989,'Employee Data'!A7:P106,16,FALSE),VLOOKUP(A989,'Employee Data'!A7:V106,22,FALSE))</f>
        <v>13</v>
      </c>
      <c r="C989">
        <v>20</v>
      </c>
      <c r="D989" s="3">
        <v>43990</v>
      </c>
      <c r="E989" s="3">
        <v>43995</v>
      </c>
      <c r="F989">
        <f t="shared" si="15"/>
        <v>-7</v>
      </c>
    </row>
    <row r="990" spans="1:6" x14ac:dyDescent="0.25">
      <c r="A990">
        <v>44</v>
      </c>
      <c r="B990">
        <f>CalculateVacation(VLOOKUP(A990,'Employee Data'!A7:P106,16,FALSE),VLOOKUP(A990,'Employee Data'!A7:V106,22,FALSE))</f>
        <v>432.5</v>
      </c>
      <c r="C990">
        <v>7</v>
      </c>
      <c r="D990" s="3">
        <v>43929</v>
      </c>
      <c r="E990" s="3">
        <v>43931</v>
      </c>
      <c r="F990">
        <f t="shared" si="15"/>
        <v>425.5</v>
      </c>
    </row>
    <row r="991" spans="1:6" x14ac:dyDescent="0.25">
      <c r="A991">
        <v>89</v>
      </c>
      <c r="B991">
        <f>CalculateVacation(VLOOKUP(A991,'Employee Data'!A7:P106,16,FALSE),VLOOKUP(A991,'Employee Data'!A7:V106,22,FALSE))</f>
        <v>126</v>
      </c>
      <c r="C991">
        <v>24</v>
      </c>
      <c r="D991" s="3">
        <v>43832</v>
      </c>
      <c r="E991" s="3">
        <v>43985</v>
      </c>
      <c r="F991">
        <f t="shared" si="15"/>
        <v>102</v>
      </c>
    </row>
    <row r="992" spans="1:6" x14ac:dyDescent="0.25">
      <c r="A992">
        <v>96</v>
      </c>
      <c r="B992">
        <f>CalculateVacation(VLOOKUP(A992,'Employee Data'!A7:P106,16,FALSE),VLOOKUP(A992,'Employee Data'!A7:V106,22,FALSE))</f>
        <v>0</v>
      </c>
      <c r="C992">
        <v>3</v>
      </c>
      <c r="D992" s="3">
        <v>43862</v>
      </c>
      <c r="E992" s="3">
        <v>43922</v>
      </c>
      <c r="F992">
        <f t="shared" si="15"/>
        <v>-3</v>
      </c>
    </row>
    <row r="993" spans="1:6" x14ac:dyDescent="0.25">
      <c r="A993">
        <v>39</v>
      </c>
      <c r="B993">
        <f>CalculateVacation(VLOOKUP(A993,'Employee Data'!A7:P106,16,FALSE),VLOOKUP(A993,'Employee Data'!A7:V106,22,FALSE))</f>
        <v>0</v>
      </c>
      <c r="C993">
        <v>5</v>
      </c>
      <c r="D993" s="3">
        <v>43702</v>
      </c>
      <c r="E993" s="3">
        <v>43710</v>
      </c>
      <c r="F993">
        <f t="shared" si="15"/>
        <v>-5</v>
      </c>
    </row>
    <row r="994" spans="1:6" x14ac:dyDescent="0.25">
      <c r="A994">
        <v>73</v>
      </c>
      <c r="B994">
        <f>CalculateVacation(VLOOKUP(A994,'Employee Data'!A7:P106,16,FALSE),VLOOKUP(A994,'Employee Data'!A7:V106,22,FALSE))</f>
        <v>105</v>
      </c>
      <c r="C994">
        <v>17</v>
      </c>
      <c r="D994" s="3">
        <v>43876</v>
      </c>
      <c r="E994" s="3">
        <v>43916</v>
      </c>
      <c r="F994">
        <f t="shared" si="15"/>
        <v>88</v>
      </c>
    </row>
    <row r="995" spans="1:6" x14ac:dyDescent="0.25">
      <c r="A995">
        <v>100</v>
      </c>
      <c r="B995">
        <f>CalculateVacation(VLOOKUP(A995,'Employee Data'!A7:P106,16,FALSE),VLOOKUP(A995,'Employee Data'!A7:V106,22,FALSE))</f>
        <v>540</v>
      </c>
      <c r="C995">
        <v>24</v>
      </c>
      <c r="D995" s="3">
        <v>43544</v>
      </c>
      <c r="E995" s="3">
        <v>43547</v>
      </c>
      <c r="F995">
        <f t="shared" si="15"/>
        <v>516</v>
      </c>
    </row>
    <row r="996" spans="1:6" x14ac:dyDescent="0.25">
      <c r="A996">
        <v>69</v>
      </c>
      <c r="B996">
        <f>CalculateVacation(VLOOKUP(A996,'Employee Data'!A7:P106,16,FALSE),VLOOKUP(A996,'Employee Data'!A7:V106,22,FALSE))</f>
        <v>250</v>
      </c>
      <c r="C996">
        <v>6</v>
      </c>
      <c r="D996" s="3">
        <v>44065</v>
      </c>
      <c r="E996" s="3">
        <v>44074</v>
      </c>
      <c r="F996">
        <f t="shared" si="15"/>
        <v>244</v>
      </c>
    </row>
    <row r="997" spans="1:6" x14ac:dyDescent="0.25">
      <c r="A997">
        <v>93</v>
      </c>
      <c r="B997">
        <f>CalculateVacation(VLOOKUP(A997,'Employee Data'!A7:P106,16,FALSE),VLOOKUP(A997,'Employee Data'!A7:V106,22,FALSE))</f>
        <v>151.5</v>
      </c>
      <c r="C997">
        <v>29</v>
      </c>
      <c r="D997" s="3">
        <v>43815</v>
      </c>
      <c r="E997" s="3">
        <v>43823</v>
      </c>
      <c r="F997">
        <f t="shared" si="15"/>
        <v>122.5</v>
      </c>
    </row>
    <row r="998" spans="1:6" x14ac:dyDescent="0.25">
      <c r="A998">
        <v>59</v>
      </c>
      <c r="B998">
        <f>CalculateVacation(VLOOKUP(A998,'Employee Data'!A7:P106,16,FALSE),VLOOKUP(A998,'Employee Data'!A7:V106,22,FALSE))</f>
        <v>54</v>
      </c>
      <c r="C998">
        <v>25</v>
      </c>
      <c r="D998" s="3">
        <v>43982</v>
      </c>
      <c r="E998" s="3">
        <v>43986</v>
      </c>
      <c r="F998">
        <f t="shared" si="15"/>
        <v>29</v>
      </c>
    </row>
    <row r="999" spans="1:6" x14ac:dyDescent="0.25">
      <c r="A999">
        <v>12</v>
      </c>
      <c r="B999">
        <f>CalculateVacation(VLOOKUP(A999,'Employee Data'!A7:P106,16,FALSE),VLOOKUP(A999,'Employee Data'!A7:V106,22,FALSE))</f>
        <v>636</v>
      </c>
      <c r="C999">
        <v>26</v>
      </c>
      <c r="D999" s="3">
        <v>44086</v>
      </c>
      <c r="E999" s="3">
        <v>44095</v>
      </c>
      <c r="F999">
        <f t="shared" si="15"/>
        <v>610</v>
      </c>
    </row>
    <row r="1000" spans="1:6" x14ac:dyDescent="0.25">
      <c r="A1000">
        <v>64</v>
      </c>
      <c r="B1000">
        <f>CalculateVacation(VLOOKUP(A1000,'Employee Data'!A7:P106,16,FALSE),VLOOKUP(A1000,'Employee Data'!A7:V106,22,FALSE))</f>
        <v>39</v>
      </c>
      <c r="C1000">
        <v>18</v>
      </c>
      <c r="D1000" s="3">
        <v>43973</v>
      </c>
      <c r="E1000" s="3">
        <v>43982</v>
      </c>
      <c r="F1000">
        <f t="shared" si="15"/>
        <v>21</v>
      </c>
    </row>
    <row r="1001" spans="1:6" x14ac:dyDescent="0.25">
      <c r="A1001">
        <v>57</v>
      </c>
      <c r="B1001">
        <f>CalculateVacation(VLOOKUP(A1001,'Employee Data'!A7:P106,16,FALSE),VLOOKUP(A1001,'Employee Data'!A7:V106,22,FALSE))</f>
        <v>99</v>
      </c>
      <c r="C1001">
        <v>10</v>
      </c>
      <c r="D1001" s="3">
        <v>43926</v>
      </c>
      <c r="E1001" s="3">
        <v>43936</v>
      </c>
      <c r="F1001">
        <f t="shared" si="15"/>
        <v>89</v>
      </c>
    </row>
    <row r="1002" spans="1:6" x14ac:dyDescent="0.25">
      <c r="A1002">
        <v>87</v>
      </c>
      <c r="B1002">
        <f>CalculateVacation(VLOOKUP(A1002,'Employee Data'!A7:P106,16,FALSE),VLOOKUP(A1002,'Employee Data'!A7:V106,22,FALSE))</f>
        <v>537</v>
      </c>
      <c r="C1002">
        <v>1</v>
      </c>
      <c r="D1002" s="3">
        <v>43626</v>
      </c>
      <c r="E1002" s="3">
        <v>43630</v>
      </c>
      <c r="F1002">
        <f t="shared" si="15"/>
        <v>536</v>
      </c>
    </row>
    <row r="1003" spans="1:6" x14ac:dyDescent="0.25">
      <c r="A1003">
        <v>50</v>
      </c>
      <c r="B1003">
        <f>CalculateVacation(VLOOKUP(A1003,'Employee Data'!A7:P106,16,FALSE),VLOOKUP(A1003,'Employee Data'!A7:V106,22,FALSE))</f>
        <v>144</v>
      </c>
      <c r="C1003">
        <v>13</v>
      </c>
      <c r="D1003" s="3">
        <v>43663</v>
      </c>
      <c r="E1003" s="3">
        <v>43667</v>
      </c>
      <c r="F1003">
        <f t="shared" si="15"/>
        <v>131</v>
      </c>
    </row>
    <row r="1004" spans="1:6" x14ac:dyDescent="0.25">
      <c r="A1004">
        <v>85</v>
      </c>
      <c r="B1004">
        <f>CalculateVacation(VLOOKUP(A1004,'Employee Data'!A7:P106,16,FALSE),VLOOKUP(A1004,'Employee Data'!A7:V106,22,FALSE))</f>
        <v>636</v>
      </c>
      <c r="C1004">
        <v>18</v>
      </c>
      <c r="D1004" s="3">
        <v>43954</v>
      </c>
      <c r="E1004" s="3">
        <v>43957</v>
      </c>
      <c r="F1004">
        <f t="shared" si="15"/>
        <v>618</v>
      </c>
    </row>
    <row r="1005" spans="1:6" x14ac:dyDescent="0.25">
      <c r="A1005">
        <v>58</v>
      </c>
      <c r="B1005">
        <f>CalculateVacation(VLOOKUP(A1005,'Employee Data'!A7:P106,16,FALSE),VLOOKUP(A1005,'Employee Data'!A7:V106,22,FALSE))</f>
        <v>114</v>
      </c>
      <c r="C1005">
        <v>11</v>
      </c>
      <c r="D1005" s="3">
        <v>44009</v>
      </c>
      <c r="E1005" s="3">
        <v>44013</v>
      </c>
      <c r="F1005">
        <f t="shared" si="15"/>
        <v>103</v>
      </c>
    </row>
    <row r="1006" spans="1:6" x14ac:dyDescent="0.25">
      <c r="A1006">
        <v>66</v>
      </c>
      <c r="B1006">
        <f>CalculateVacation(VLOOKUP(A1006,'Employee Data'!A7:P106,16,FALSE),VLOOKUP(A1006,'Employee Data'!A7:V106,22,FALSE))</f>
        <v>0</v>
      </c>
      <c r="C1006">
        <v>9</v>
      </c>
      <c r="D1006" s="3">
        <v>43869</v>
      </c>
      <c r="E1006" s="3">
        <v>43873</v>
      </c>
      <c r="F1006">
        <f t="shared" si="15"/>
        <v>-9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Employee Data</vt:lpstr>
      <vt:lpstr>Department</vt:lpstr>
      <vt:lpstr>Job Titles</vt:lpstr>
      <vt:lpstr>Employee Type</vt:lpstr>
      <vt:lpstr>Contract Type</vt:lpstr>
      <vt:lpstr>Payment Rate</vt:lpstr>
      <vt:lpstr>Vacation Rate</vt:lpstr>
      <vt:lpstr>Leave Type</vt:lpstr>
      <vt:lpstr>Payment Type</vt:lpstr>
      <vt:lpstr>Time Tracking</vt:lpstr>
      <vt:lpstr>Vacation 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Kait_S</dc:creator>
  <cp:lastModifiedBy>Kait_S</cp:lastModifiedBy>
  <dcterms:created xsi:type="dcterms:W3CDTF">2020-10-24T19:10:01Z</dcterms:created>
  <dcterms:modified xsi:type="dcterms:W3CDTF">2020-10-27T01:31:29Z</dcterms:modified>
</cp:coreProperties>
</file>